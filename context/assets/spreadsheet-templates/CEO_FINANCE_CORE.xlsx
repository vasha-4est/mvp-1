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config" sheetId="1" r:id="rId5"/>
    <sheet state="visible" name="data_sources" sheetId="2" r:id="rId6"/>
    <sheet state="visible" name="Cash_Flow" sheetId="3" r:id="rId7"/>
    <sheet state="visible" name="Payment_Calendar" sheetId="4" r:id="rId8"/>
    <sheet state="visible" name="P&amp;L_CEO" sheetId="5" r:id="rId9"/>
    <sheet state="visible" name="Scaling_Control" sheetId="6" r:id="rId10"/>
    <sheet state="visible" name="Scaling_Scenarios" sheetId="7" r:id="rId11"/>
    <sheet state="visible" name="CEO_Reglament" sheetId="8" r:id="rId12"/>
  </sheets>
  <definedNames/>
  <calcPr/>
</workbook>
</file>

<file path=xl/sharedStrings.xml><?xml version="1.0" encoding="utf-8"?>
<sst xmlns="http://schemas.openxmlformats.org/spreadsheetml/2006/main" count="314" uniqueCount="182">
  <si>
    <t>key</t>
  </si>
  <si>
    <t>value</t>
  </si>
  <si>
    <t>comment</t>
  </si>
  <si>
    <t>CEO_FINANCE_CORE_SHEET_ID</t>
  </si>
  <si>
    <t>10SYmxcbbaevfnG8I5e3L1vh-L5F2qbazi37kLpu4FOc</t>
  </si>
  <si>
    <t>ID этого файла Google Sheets после загрузки.</t>
  </si>
  <si>
    <t>OPS_DB_SHEET_ID</t>
  </si>
  <si>
    <t>1fQovsTmvYufuNeGKClq22Z8z-xHTvQ-OdJLDlm5eUDM</t>
  </si>
  <si>
    <t>ID OPS_DB (операционная база фактов).</t>
  </si>
  <si>
    <t>CONTROL_MODEL_SHEET_ID</t>
  </si>
  <si>
    <t>1IpRlrfFCKUF1mM0RG24nk2IibcoxyzV6rZc7ZB227RU</t>
  </si>
  <si>
    <t>ID Control Model (правила/пороги/роли).</t>
  </si>
  <si>
    <t>TIMEZONE</t>
  </si>
  <si>
    <t>Europe/Berlin</t>
  </si>
  <si>
    <t>Таймзона для дат/периодов.</t>
  </si>
  <si>
    <t>ENV</t>
  </si>
  <si>
    <t>prod</t>
  </si>
  <si>
    <t>Окружение: dev/prod.</t>
  </si>
  <si>
    <t>CASHFLOW_CLOSE_FREQUENCY</t>
  </si>
  <si>
    <t>weekly</t>
  </si>
  <si>
    <t>Частота закрытия ДДС: daily/weekly/monthly.</t>
  </si>
  <si>
    <t>PNL_CLOSE_FREQUENCY</t>
  </si>
  <si>
    <t>monthly</t>
  </si>
  <si>
    <t>Частота закрытия P&amp;L: weekly/monthly.</t>
  </si>
  <si>
    <t>NOTE</t>
  </si>
  <si>
    <t>Не дублируй users_roles/RBAC здесь. Только финансы + ссылки по user_id/sku_id.</t>
  </si>
  <si>
    <t>Памятка для разработки.</t>
  </si>
  <si>
    <t>entity</t>
  </si>
  <si>
    <t>source_table</t>
  </si>
  <si>
    <t>source_sheet_id_key</t>
  </si>
  <si>
    <t>refresh_mode</t>
  </si>
  <si>
    <t>used_in_sheets</t>
  </si>
  <si>
    <t>shipments_aggregates</t>
  </si>
  <si>
    <t>OPS_DB.shipments</t>
  </si>
  <si>
    <t>read-only</t>
  </si>
  <si>
    <t>P&amp;L_CEO;Scaling_Control</t>
  </si>
  <si>
    <t>Риски/готовность для связи операций и финансов.</t>
  </si>
  <si>
    <t>inventory_value</t>
  </si>
  <si>
    <t>OPS_DB.inventory_balances</t>
  </si>
  <si>
    <t>optional</t>
  </si>
  <si>
    <t>P&amp;L_CEO</t>
  </si>
  <si>
    <t>Если считаем баланс/запасы.</t>
  </si>
  <si>
    <t>payroll_facts</t>
  </si>
  <si>
    <t>OPS_DB.salary_facts (если будет)</t>
  </si>
  <si>
    <t>future(P1)</t>
  </si>
  <si>
    <t>Подтягивание начислений.</t>
  </si>
  <si>
    <t>Дата</t>
  </si>
  <si>
    <t>Остаток на начало</t>
  </si>
  <si>
    <t>Всего поступлений</t>
  </si>
  <si>
    <t>Всего списаний</t>
  </si>
  <si>
    <t>Чистый поток</t>
  </si>
  <si>
    <t>Остаток на конец</t>
  </si>
  <si>
    <t>Ozon</t>
  </si>
  <si>
    <t>WB</t>
  </si>
  <si>
    <t>Яндекс Маркет</t>
  </si>
  <si>
    <t>Офлайн</t>
  </si>
  <si>
    <t>Прочие</t>
  </si>
  <si>
    <t>Закупки</t>
  </si>
  <si>
    <t>Зарплата</t>
  </si>
  <si>
    <t>Логистика</t>
  </si>
  <si>
    <t>Маркетинг</t>
  </si>
  <si>
    <t>Аренда</t>
  </si>
  <si>
    <t>Налоги</t>
  </si>
  <si>
    <t>Прочее</t>
  </si>
  <si>
    <t>CEO Финансовые индикаторы</t>
  </si>
  <si>
    <t>2026-02-01</t>
  </si>
  <si>
    <t>MIN_CASH</t>
  </si>
  <si>
    <t>2026-02-02</t>
  </si>
  <si>
    <t>Дата_сегодня</t>
  </si>
  <si>
    <t>2026-02-03</t>
  </si>
  <si>
    <t>Остаток сегодня</t>
  </si>
  <si>
    <t>2026-02-04</t>
  </si>
  <si>
    <t>CASH_14</t>
  </si>
  <si>
    <t>2026-02-05</t>
  </si>
  <si>
    <t>FREE_CASH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</si>
  <si>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</si>
  <si>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</si>
  <si>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</si>
  <si>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</si>
  <si>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</si>
  <si>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</si>
  <si>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</si>
  <si>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</si>
  <si>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</si>
  <si>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</si>
  <si>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</si>
  <si>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</si>
  <si>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</si>
  <si>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</si>
  <si>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</si>
  <si>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</si>
  <si>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</si>
  <si>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</si>
  <si>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</si>
  <si>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</si>
  <si>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</si>
  <si>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</si>
  <si>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</si>
  <si>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</si>
  <si>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</si>
  <si>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Контрагент</t>
  </si>
  <si>
    <t>Назначение</t>
  </si>
  <si>
    <t>Сумма</t>
  </si>
  <si>
    <t>Тип</t>
  </si>
  <si>
    <t>Статус</t>
  </si>
  <si>
    <t>Можно сдвинуть</t>
  </si>
  <si>
    <t>Приоритет</t>
  </si>
  <si>
    <t>Комментарий</t>
  </si>
  <si>
    <t>Поставщик</t>
  </si>
  <si>
    <t>Сырьё</t>
  </si>
  <si>
    <t>Запланирован</t>
  </si>
  <si>
    <t>Да</t>
  </si>
  <si>
    <t>Можно сдвигать</t>
  </si>
  <si>
    <t>Доставка</t>
  </si>
  <si>
    <t>Реклама</t>
  </si>
  <si>
    <t>Не срочно</t>
  </si>
  <si>
    <t>Арендодатель</t>
  </si>
  <si>
    <t>Нет</t>
  </si>
  <si>
    <t>Обязательно</t>
  </si>
  <si>
    <t>Команда</t>
  </si>
  <si>
    <t>ФОТ</t>
  </si>
  <si>
    <t>ФНС</t>
  </si>
  <si>
    <t>УСН</t>
  </si>
  <si>
    <t>Месяц</t>
  </si>
  <si>
    <t>Канал</t>
  </si>
  <si>
    <t>Бренд</t>
  </si>
  <si>
    <t>SKU-группа</t>
  </si>
  <si>
    <t>Выручка</t>
  </si>
  <si>
    <t>Себестоимость</t>
  </si>
  <si>
    <t>Переменные</t>
  </si>
  <si>
    <t>Маржинальная прибыль</t>
  </si>
  <si>
    <t>Маржа %</t>
  </si>
  <si>
    <t>2026-01</t>
  </si>
  <si>
    <t>Solace</t>
  </si>
  <si>
    <t>Основной</t>
  </si>
  <si>
    <t>Наборы</t>
  </si>
  <si>
    <t>Все</t>
  </si>
  <si>
    <t>Lolsoap</t>
  </si>
  <si>
    <t>Распродажа</t>
  </si>
  <si>
    <t>АВТО-РЕЖИМ МАСШТАБИРОВАНИЯ CEO</t>
  </si>
  <si>
    <t>Показатель</t>
  </si>
  <si>
    <t>Условие</t>
  </si>
  <si>
    <t>Факт</t>
  </si>
  <si>
    <t>CASH_14 ≥ 1.5×MIN_CASH</t>
  </si>
  <si>
    <t>FREE_CASH ≥ 1× постоянные расходы</t>
  </si>
  <si>
    <t>Маржа ≥ 20%</t>
  </si>
  <si>
    <t>CASH_14 ≥ 3×MIN_CASH (x3)</t>
  </si>
  <si>
    <t>FREE_CASH ≥ 2× пост.расходы (x3)</t>
  </si>
  <si>
    <t>РЕЖИМ</t>
  </si>
  <si>
    <t>РЕШЕНИЕ</t>
  </si>
  <si>
    <t>Режим</t>
  </si>
  <si>
    <t>Что МОЖНО</t>
  </si>
  <si>
    <t>Что НЕЛЬЗЯ</t>
  </si>
  <si>
    <t>Фокус CEO</t>
  </si>
  <si>
    <t>КРАСНЫЙ</t>
  </si>
  <si>
    <t>Сокращение затрат, сдвиг платежей, чистка SKU</t>
  </si>
  <si>
    <t>Рост, найм, новые каналы</t>
  </si>
  <si>
    <t>Выживание и ликвидность</t>
  </si>
  <si>
    <t>ЖЁЛТЫЙ</t>
  </si>
  <si>
    <t>Оптимизация, тесты без роста расходов</t>
  </si>
  <si>
    <t>Масштабирование, расширение</t>
  </si>
  <si>
    <t>Подготовка системы</t>
  </si>
  <si>
    <t>ЗЕЛЁНЫЙ x2</t>
  </si>
  <si>
    <t>Рост объёма, усиление ТОП-SKU</t>
  </si>
  <si>
    <t>Новые рынки, агрессивный найм</t>
  </si>
  <si>
    <t>Удвоение модели</t>
  </si>
  <si>
    <t>ЗЕЛЁНЫЙ x3</t>
  </si>
  <si>
    <t>Новые рынки, каналы, команда</t>
  </si>
  <si>
    <t>Хаотичный рост</t>
  </si>
  <si>
    <t>Построение компании</t>
  </si>
  <si>
    <t>Период</t>
  </si>
  <si>
    <t>Правило</t>
  </si>
  <si>
    <t>Ежедневно</t>
  </si>
  <si>
    <t>Проверить режим масштабирования. Если не зелёный — рост запрещён.</t>
  </si>
  <si>
    <t>Перед решением</t>
  </si>
  <si>
    <t>Любое расширение возможно ТОЛЬКО при зелёном режиме.</t>
  </si>
  <si>
    <t>Зелёный x2</t>
  </si>
  <si>
    <t>Разрешён рост только по одному вектору.</t>
  </si>
  <si>
    <t>Зелёный x3</t>
  </si>
  <si>
    <t>Разрешены новые рынки, найм и инвестиции.</t>
  </si>
  <si>
    <t>Красный</t>
  </si>
  <si>
    <t>Фокус только на деньгах и обязательствах.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</si>
</sst>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73.43"/>
    <col customWidth="1" min="3" max="3" width="74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4" t="s">
        <v>7</v>
      </c>
      <c r="C3" s="2" t="s">
        <v>8</v>
      </c>
    </row>
    <row r="4">
      <c r="A4" s="2" t="s">
        <v>9</v>
      </c>
      <c r="B4" s="4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1.0"/>
    <col customWidth="1" min="3" max="3" width="28.0"/>
    <col customWidth="1" min="4" max="4" width="21.0"/>
    <col customWidth="1" min="5" max="5" width="23.0"/>
    <col customWidth="1" min="6" max="6" width="15.0"/>
    <col customWidth="1" min="7" max="26" width="8.71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2</v>
      </c>
    </row>
    <row r="2">
      <c r="A2" s="2" t="s">
        <v>32</v>
      </c>
      <c r="B2" s="2" t="s">
        <v>33</v>
      </c>
      <c r="C2" s="2" t="s">
        <v>6</v>
      </c>
      <c r="D2" s="2" t="s">
        <v>34</v>
      </c>
      <c r="E2" s="2" t="s">
        <v>35</v>
      </c>
      <c r="F2" s="2" t="s">
        <v>36</v>
      </c>
    </row>
    <row r="3">
      <c r="A3" s="2" t="s">
        <v>37</v>
      </c>
      <c r="B3" s="2" t="s">
        <v>38</v>
      </c>
      <c r="C3" s="2" t="s">
        <v>6</v>
      </c>
      <c r="D3" s="2" t="s">
        <v>39</v>
      </c>
      <c r="E3" s="2" t="s">
        <v>40</v>
      </c>
      <c r="F3" s="2" t="s">
        <v>41</v>
      </c>
    </row>
    <row r="4">
      <c r="A4" s="2" t="s">
        <v>42</v>
      </c>
      <c r="B4" s="2" t="s">
        <v>43</v>
      </c>
      <c r="C4" s="2" t="s">
        <v>6</v>
      </c>
      <c r="D4" s="2" t="s">
        <v>44</v>
      </c>
      <c r="E4" s="2" t="s">
        <v>40</v>
      </c>
      <c r="F4" s="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9.0"/>
    <col customWidth="1" min="4" max="4" width="16.0"/>
    <col customWidth="1" min="5" max="5" width="14.0"/>
    <col customWidth="1" min="6" max="6" width="18.0"/>
    <col customWidth="1" min="7" max="8" width="12.0"/>
    <col customWidth="1" min="9" max="9" width="15.0"/>
    <col customWidth="1" min="10" max="19" width="12.0"/>
    <col customWidth="1" min="20" max="20" width="27.0"/>
    <col customWidth="1" min="21" max="21" width="60.0"/>
    <col customWidth="1" min="22" max="26" width="8.71"/>
  </cols>
  <sheetData>
    <row r="1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T1" s="7" t="s">
        <v>64</v>
      </c>
    </row>
    <row r="2">
      <c r="A2" s="2" t="s">
        <v>65</v>
      </c>
      <c r="B2" s="2">
        <v>650000.0</v>
      </c>
      <c r="C2" s="2">
        <f t="shared" ref="C2:C31" si="1">SUM(G2:K2)</f>
        <v>285000</v>
      </c>
      <c r="D2" s="2">
        <f t="shared" ref="D2:D31" si="2">SUM(L2:R2)</f>
        <v>75000</v>
      </c>
      <c r="E2" s="2">
        <f t="shared" ref="E2:E31" si="3">C2-D2</f>
        <v>210000</v>
      </c>
      <c r="F2" s="2">
        <f t="shared" ref="F2:F31" si="4">B2+E2</f>
        <v>860000</v>
      </c>
      <c r="G2" s="2">
        <v>110000.0</v>
      </c>
      <c r="H2" s="2">
        <v>85000.0</v>
      </c>
      <c r="I2" s="2">
        <v>55000.0</v>
      </c>
      <c r="J2" s="2">
        <v>35000.0</v>
      </c>
      <c r="K2" s="2">
        <v>0.0</v>
      </c>
      <c r="L2" s="2">
        <v>75000.0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T2" s="2" t="s">
        <v>66</v>
      </c>
      <c r="U2" s="2">
        <v>350000.0</v>
      </c>
    </row>
    <row r="3">
      <c r="A3" s="2" t="s">
        <v>67</v>
      </c>
      <c r="B3" s="2">
        <f t="shared" ref="B3:B31" si="5">F2</f>
        <v>860000</v>
      </c>
      <c r="C3" s="2">
        <f t="shared" si="1"/>
        <v>0</v>
      </c>
      <c r="D3" s="2">
        <f t="shared" si="2"/>
        <v>0</v>
      </c>
      <c r="E3" s="2">
        <f t="shared" si="3"/>
        <v>0</v>
      </c>
      <c r="F3" s="2">
        <f t="shared" si="4"/>
        <v>860000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T3" s="2" t="s">
        <v>68</v>
      </c>
      <c r="U3" s="2" t="s">
        <v>65</v>
      </c>
    </row>
    <row r="4">
      <c r="A4" s="2" t="s">
        <v>69</v>
      </c>
      <c r="B4" s="2">
        <f t="shared" si="5"/>
        <v>860000</v>
      </c>
      <c r="C4" s="2">
        <f t="shared" si="1"/>
        <v>0</v>
      </c>
      <c r="D4" s="2">
        <f t="shared" si="2"/>
        <v>22000</v>
      </c>
      <c r="E4" s="2">
        <f t="shared" si="3"/>
        <v>-22000</v>
      </c>
      <c r="F4" s="2">
        <f t="shared" si="4"/>
        <v>838000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22000.0</v>
      </c>
      <c r="O4" s="2">
        <v>0.0</v>
      </c>
      <c r="P4" s="2">
        <v>0.0</v>
      </c>
      <c r="Q4" s="2">
        <v>0.0</v>
      </c>
      <c r="R4" s="2">
        <v>0.0</v>
      </c>
      <c r="T4" s="2" t="s">
        <v>70</v>
      </c>
      <c r="U4" s="2">
        <f t="array" ref="U4">XLOOKUP(U3,A:A,F:F,,0)</f>
        <v>860000</v>
      </c>
    </row>
    <row r="5">
      <c r="A5" s="2" t="s">
        <v>71</v>
      </c>
      <c r="B5" s="2">
        <f t="shared" si="5"/>
        <v>838000</v>
      </c>
      <c r="C5" s="2">
        <f t="shared" si="1"/>
        <v>110000</v>
      </c>
      <c r="D5" s="2">
        <f t="shared" si="2"/>
        <v>45000</v>
      </c>
      <c r="E5" s="2">
        <f t="shared" si="3"/>
        <v>65000</v>
      </c>
      <c r="F5" s="2">
        <f t="shared" si="4"/>
        <v>903000</v>
      </c>
      <c r="G5" s="2">
        <v>110000.0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45000.0</v>
      </c>
      <c r="P5" s="2">
        <v>0.0</v>
      </c>
      <c r="Q5" s="2">
        <v>0.0</v>
      </c>
      <c r="R5" s="2">
        <v>0.0</v>
      </c>
      <c r="T5" s="2" t="s">
        <v>72</v>
      </c>
      <c r="U5" s="2" t="str">
        <f t="array" ref="U5">XLOOKUP(U3+14,A:A,F:F,,0)</f>
        <v/>
      </c>
    </row>
    <row r="6">
      <c r="A6" s="2" t="s">
        <v>73</v>
      </c>
      <c r="B6" s="2">
        <f t="shared" si="5"/>
        <v>903000</v>
      </c>
      <c r="C6" s="2">
        <f t="shared" si="1"/>
        <v>85000</v>
      </c>
      <c r="D6" s="2">
        <f t="shared" si="2"/>
        <v>30000</v>
      </c>
      <c r="E6" s="2">
        <f t="shared" si="3"/>
        <v>55000</v>
      </c>
      <c r="F6" s="2">
        <f t="shared" si="4"/>
        <v>958000</v>
      </c>
      <c r="G6" s="2">
        <v>0.0</v>
      </c>
      <c r="H6" s="2">
        <v>85000.0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30000.0</v>
      </c>
      <c r="Q6" s="2">
        <v>0.0</v>
      </c>
      <c r="R6" s="2">
        <v>0.0</v>
      </c>
      <c r="T6" s="2" t="s">
        <v>74</v>
      </c>
      <c r="U6" s="2">
        <f>U4-SUMIFS(Payment_Calendar!D:D,Payment_Calendar!H:H,1,Payment_Calendar!A:A,"&gt;="&amp;U3,Payment_Calendar!A:A,"&lt;="&amp;U3+14,Payment_Calendar!F:F,"&lt;&gt;Оплачен")</f>
        <v>860000</v>
      </c>
    </row>
    <row r="7">
      <c r="A7" s="2" t="s">
        <v>75</v>
      </c>
      <c r="B7" s="2">
        <f t="shared" si="5"/>
        <v>958000</v>
      </c>
      <c r="C7" s="2">
        <f t="shared" si="1"/>
        <v>55000</v>
      </c>
      <c r="D7" s="2">
        <f t="shared" si="2"/>
        <v>0</v>
      </c>
      <c r="E7" s="2">
        <f t="shared" si="3"/>
        <v>55000</v>
      </c>
      <c r="F7" s="2">
        <f t="shared" si="4"/>
        <v>1013000</v>
      </c>
      <c r="G7" s="2">
        <v>0.0</v>
      </c>
      <c r="H7" s="2">
        <v>0.0</v>
      </c>
      <c r="I7" s="2">
        <v>55000.0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</row>
    <row r="8">
      <c r="A8" s="2" t="s">
        <v>76</v>
      </c>
      <c r="B8" s="2">
        <f t="shared" si="5"/>
        <v>1013000</v>
      </c>
      <c r="C8" s="2">
        <f t="shared" si="1"/>
        <v>145000</v>
      </c>
      <c r="D8" s="2">
        <f t="shared" si="2"/>
        <v>75000</v>
      </c>
      <c r="E8" s="2">
        <f t="shared" si="3"/>
        <v>70000</v>
      </c>
      <c r="F8" s="2">
        <f t="shared" si="4"/>
        <v>1083000</v>
      </c>
      <c r="G8" s="2">
        <v>110000.0</v>
      </c>
      <c r="H8" s="2">
        <v>0.0</v>
      </c>
      <c r="I8" s="2">
        <v>0.0</v>
      </c>
      <c r="J8" s="2">
        <v>35000.0</v>
      </c>
      <c r="K8" s="2">
        <v>0.0</v>
      </c>
      <c r="L8" s="2">
        <v>75000.0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</row>
    <row r="9">
      <c r="A9" s="2" t="s">
        <v>77</v>
      </c>
      <c r="B9" s="2">
        <f t="shared" si="5"/>
        <v>1083000</v>
      </c>
      <c r="C9" s="2">
        <f t="shared" si="1"/>
        <v>0</v>
      </c>
      <c r="D9" s="2">
        <f t="shared" si="2"/>
        <v>22000</v>
      </c>
      <c r="E9" s="2">
        <f t="shared" si="3"/>
        <v>-22000</v>
      </c>
      <c r="F9" s="2">
        <f t="shared" si="4"/>
        <v>1061000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22000.0</v>
      </c>
      <c r="O9" s="2">
        <v>0.0</v>
      </c>
      <c r="P9" s="2">
        <v>0.0</v>
      </c>
      <c r="Q9" s="2">
        <v>0.0</v>
      </c>
      <c r="R9" s="2">
        <v>0.0</v>
      </c>
    </row>
    <row r="10">
      <c r="A10" s="2" t="s">
        <v>78</v>
      </c>
      <c r="B10" s="2">
        <f t="shared" si="5"/>
        <v>1061000</v>
      </c>
      <c r="C10" s="2">
        <f t="shared" si="1"/>
        <v>85000</v>
      </c>
      <c r="D10" s="2">
        <f t="shared" si="2"/>
        <v>0</v>
      </c>
      <c r="E10" s="2">
        <f t="shared" si="3"/>
        <v>85000</v>
      </c>
      <c r="F10" s="2">
        <f t="shared" si="4"/>
        <v>1146000</v>
      </c>
      <c r="G10" s="2">
        <v>0.0</v>
      </c>
      <c r="H10" s="2">
        <v>85000.0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</row>
    <row r="11">
      <c r="A11" s="2" t="s">
        <v>79</v>
      </c>
      <c r="B11" s="2">
        <f t="shared" si="5"/>
        <v>1146000</v>
      </c>
      <c r="C11" s="2">
        <f t="shared" si="1"/>
        <v>110000</v>
      </c>
      <c r="D11" s="2">
        <f t="shared" si="2"/>
        <v>160000</v>
      </c>
      <c r="E11" s="2">
        <f t="shared" si="3"/>
        <v>-50000</v>
      </c>
      <c r="F11" s="2">
        <f t="shared" si="4"/>
        <v>1096000</v>
      </c>
      <c r="G11" s="2">
        <v>110000.0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160000.0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</row>
    <row r="12">
      <c r="A12" s="2" t="s">
        <v>80</v>
      </c>
      <c r="B12" s="2">
        <f t="shared" si="5"/>
        <v>1096000</v>
      </c>
      <c r="C12" s="2">
        <f t="shared" si="1"/>
        <v>55000</v>
      </c>
      <c r="D12" s="2">
        <f t="shared" si="2"/>
        <v>45000</v>
      </c>
      <c r="E12" s="2">
        <f t="shared" si="3"/>
        <v>10000</v>
      </c>
      <c r="F12" s="2">
        <f t="shared" si="4"/>
        <v>1106000</v>
      </c>
      <c r="G12" s="2">
        <v>0.0</v>
      </c>
      <c r="H12" s="2">
        <v>0.0</v>
      </c>
      <c r="I12" s="2">
        <v>55000.0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45000.0</v>
      </c>
      <c r="P12" s="2">
        <v>0.0</v>
      </c>
      <c r="Q12" s="2">
        <v>0.0</v>
      </c>
      <c r="R12" s="2">
        <v>0.0</v>
      </c>
    </row>
    <row r="13">
      <c r="A13" s="2" t="s">
        <v>81</v>
      </c>
      <c r="B13" s="2">
        <f t="shared" si="5"/>
        <v>1106000</v>
      </c>
      <c r="C13" s="2">
        <f t="shared" si="1"/>
        <v>0</v>
      </c>
      <c r="D13" s="2">
        <f t="shared" si="2"/>
        <v>0</v>
      </c>
      <c r="E13" s="2">
        <f t="shared" si="3"/>
        <v>0</v>
      </c>
      <c r="F13" s="2">
        <f t="shared" si="4"/>
        <v>1106000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</row>
    <row r="14">
      <c r="A14" s="2" t="s">
        <v>82</v>
      </c>
      <c r="B14" s="2">
        <f t="shared" si="5"/>
        <v>1106000</v>
      </c>
      <c r="C14" s="2">
        <f t="shared" si="1"/>
        <v>230000</v>
      </c>
      <c r="D14" s="2">
        <f t="shared" si="2"/>
        <v>97000</v>
      </c>
      <c r="E14" s="2">
        <f t="shared" si="3"/>
        <v>133000</v>
      </c>
      <c r="F14" s="2">
        <f t="shared" si="4"/>
        <v>1239000</v>
      </c>
      <c r="G14" s="2">
        <v>110000.0</v>
      </c>
      <c r="H14" s="2">
        <v>85000.0</v>
      </c>
      <c r="I14" s="2">
        <v>0.0</v>
      </c>
      <c r="J14" s="2">
        <v>35000.0</v>
      </c>
      <c r="K14" s="2">
        <v>0.0</v>
      </c>
      <c r="L14" s="2">
        <v>75000.0</v>
      </c>
      <c r="M14" s="2">
        <v>0.0</v>
      </c>
      <c r="N14" s="2">
        <v>22000.0</v>
      </c>
      <c r="O14" s="2">
        <v>0.0</v>
      </c>
      <c r="P14" s="2">
        <v>0.0</v>
      </c>
      <c r="Q14" s="2">
        <v>0.0</v>
      </c>
      <c r="R14" s="2">
        <v>0.0</v>
      </c>
    </row>
    <row r="15">
      <c r="A15" s="2" t="s">
        <v>83</v>
      </c>
      <c r="B15" s="2">
        <f t="shared" si="5"/>
        <v>1239000</v>
      </c>
      <c r="C15" s="2">
        <f t="shared" si="1"/>
        <v>0</v>
      </c>
      <c r="D15" s="2">
        <f t="shared" si="2"/>
        <v>0</v>
      </c>
      <c r="E15" s="2">
        <f t="shared" si="3"/>
        <v>0</v>
      </c>
      <c r="F15" s="2">
        <f t="shared" si="4"/>
        <v>1239000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</row>
    <row r="16">
      <c r="A16" s="2" t="s">
        <v>84</v>
      </c>
      <c r="B16" s="2">
        <f t="shared" si="5"/>
        <v>1239000</v>
      </c>
      <c r="C16" s="2">
        <f t="shared" si="1"/>
        <v>0</v>
      </c>
      <c r="D16" s="2">
        <f t="shared" si="2"/>
        <v>95000</v>
      </c>
      <c r="E16" s="2">
        <f t="shared" si="3"/>
        <v>-95000</v>
      </c>
      <c r="F16" s="2">
        <f t="shared" si="4"/>
        <v>1144000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95000.0</v>
      </c>
      <c r="R16" s="2">
        <v>0.0</v>
      </c>
    </row>
    <row r="17">
      <c r="A17" s="2" t="s">
        <v>85</v>
      </c>
      <c r="B17" s="2">
        <f t="shared" si="5"/>
        <v>1144000</v>
      </c>
      <c r="C17" s="2">
        <f t="shared" si="1"/>
        <v>165000</v>
      </c>
      <c r="D17" s="2">
        <f t="shared" si="2"/>
        <v>0</v>
      </c>
      <c r="E17" s="2">
        <f t="shared" si="3"/>
        <v>165000</v>
      </c>
      <c r="F17" s="2">
        <f t="shared" si="4"/>
        <v>1309000</v>
      </c>
      <c r="G17" s="2">
        <v>110000.0</v>
      </c>
      <c r="H17" s="2">
        <v>0.0</v>
      </c>
      <c r="I17" s="2">
        <v>55000.0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</row>
    <row r="18">
      <c r="A18" s="2" t="s">
        <v>86</v>
      </c>
      <c r="B18" s="2">
        <f t="shared" si="5"/>
        <v>1309000</v>
      </c>
      <c r="C18" s="2">
        <f t="shared" si="1"/>
        <v>85000</v>
      </c>
      <c r="D18" s="2">
        <f t="shared" si="2"/>
        <v>0</v>
      </c>
      <c r="E18" s="2">
        <f t="shared" si="3"/>
        <v>85000</v>
      </c>
      <c r="F18" s="2">
        <f t="shared" si="4"/>
        <v>1394000</v>
      </c>
      <c r="G18" s="2">
        <v>0.0</v>
      </c>
      <c r="H18" s="2">
        <v>85000.0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</row>
    <row r="19">
      <c r="A19" s="2" t="s">
        <v>87</v>
      </c>
      <c r="B19" s="2">
        <f t="shared" si="5"/>
        <v>1394000</v>
      </c>
      <c r="C19" s="2">
        <f t="shared" si="1"/>
        <v>0</v>
      </c>
      <c r="D19" s="2">
        <f t="shared" si="2"/>
        <v>67000</v>
      </c>
      <c r="E19" s="2">
        <f t="shared" si="3"/>
        <v>-67000</v>
      </c>
      <c r="F19" s="2">
        <f t="shared" si="4"/>
        <v>1327000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22000.0</v>
      </c>
      <c r="O19" s="2">
        <v>45000.0</v>
      </c>
      <c r="P19" s="2">
        <v>0.0</v>
      </c>
      <c r="Q19" s="2">
        <v>0.0</v>
      </c>
      <c r="R19" s="2">
        <v>0.0</v>
      </c>
    </row>
    <row r="20">
      <c r="A20" s="2" t="s">
        <v>88</v>
      </c>
      <c r="B20" s="2">
        <f t="shared" si="5"/>
        <v>1327000</v>
      </c>
      <c r="C20" s="2">
        <f t="shared" si="1"/>
        <v>145000</v>
      </c>
      <c r="D20" s="2">
        <f t="shared" si="2"/>
        <v>75000</v>
      </c>
      <c r="E20" s="2">
        <f t="shared" si="3"/>
        <v>70000</v>
      </c>
      <c r="F20" s="2">
        <f t="shared" si="4"/>
        <v>1397000</v>
      </c>
      <c r="G20" s="2">
        <v>110000.0</v>
      </c>
      <c r="H20" s="2">
        <v>0.0</v>
      </c>
      <c r="I20" s="2">
        <v>0.0</v>
      </c>
      <c r="J20" s="2">
        <v>35000.0</v>
      </c>
      <c r="K20" s="2">
        <v>0.0</v>
      </c>
      <c r="L20" s="2">
        <v>75000.0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</row>
    <row r="21" ht="15.75" customHeight="1">
      <c r="A21" s="2" t="s">
        <v>89</v>
      </c>
      <c r="B21" s="2">
        <f t="shared" si="5"/>
        <v>1397000</v>
      </c>
      <c r="C21" s="2">
        <f t="shared" si="1"/>
        <v>0</v>
      </c>
      <c r="D21" s="2">
        <f t="shared" si="2"/>
        <v>0</v>
      </c>
      <c r="E21" s="2">
        <f t="shared" si="3"/>
        <v>0</v>
      </c>
      <c r="F21" s="2">
        <f t="shared" si="4"/>
        <v>1397000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</row>
    <row r="22" ht="15.75" customHeight="1">
      <c r="A22" s="2" t="s">
        <v>90</v>
      </c>
      <c r="B22" s="2">
        <f t="shared" si="5"/>
        <v>1397000</v>
      </c>
      <c r="C22" s="2">
        <f t="shared" si="1"/>
        <v>140000</v>
      </c>
      <c r="D22" s="2">
        <f t="shared" si="2"/>
        <v>0</v>
      </c>
      <c r="E22" s="2">
        <f t="shared" si="3"/>
        <v>140000</v>
      </c>
      <c r="F22" s="2">
        <f t="shared" si="4"/>
        <v>1537000</v>
      </c>
      <c r="G22" s="2">
        <v>0.0</v>
      </c>
      <c r="H22" s="2">
        <v>85000.0</v>
      </c>
      <c r="I22" s="2">
        <v>55000.0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</row>
    <row r="23" ht="15.75" customHeight="1">
      <c r="A23" s="2" t="s">
        <v>91</v>
      </c>
      <c r="B23" s="2">
        <f t="shared" si="5"/>
        <v>1537000</v>
      </c>
      <c r="C23" s="2">
        <f t="shared" si="1"/>
        <v>110000</v>
      </c>
      <c r="D23" s="2">
        <f t="shared" si="2"/>
        <v>0</v>
      </c>
      <c r="E23" s="2">
        <f t="shared" si="3"/>
        <v>110000</v>
      </c>
      <c r="F23" s="2">
        <f t="shared" si="4"/>
        <v>1647000</v>
      </c>
      <c r="G23" s="2">
        <v>110000.0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</row>
    <row r="24" ht="15.75" customHeight="1">
      <c r="A24" s="2" t="s">
        <v>92</v>
      </c>
      <c r="B24" s="2">
        <f t="shared" si="5"/>
        <v>1647000</v>
      </c>
      <c r="C24" s="2">
        <f t="shared" si="1"/>
        <v>0</v>
      </c>
      <c r="D24" s="2">
        <f t="shared" si="2"/>
        <v>22000</v>
      </c>
      <c r="E24" s="2">
        <f t="shared" si="3"/>
        <v>-22000</v>
      </c>
      <c r="F24" s="2">
        <f t="shared" si="4"/>
        <v>1625000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22000.0</v>
      </c>
      <c r="O24" s="2">
        <v>0.0</v>
      </c>
      <c r="P24" s="2">
        <v>0.0</v>
      </c>
      <c r="Q24" s="2">
        <v>0.0</v>
      </c>
      <c r="R24" s="2">
        <v>0.0</v>
      </c>
    </row>
    <row r="25" ht="15.75" customHeight="1">
      <c r="A25" s="2" t="s">
        <v>93</v>
      </c>
      <c r="B25" s="2">
        <f t="shared" si="5"/>
        <v>1625000</v>
      </c>
      <c r="C25" s="2">
        <f t="shared" si="1"/>
        <v>0</v>
      </c>
      <c r="D25" s="2">
        <f t="shared" si="2"/>
        <v>0</v>
      </c>
      <c r="E25" s="2">
        <f t="shared" si="3"/>
        <v>0</v>
      </c>
      <c r="F25" s="2">
        <f t="shared" si="4"/>
        <v>1625000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</row>
    <row r="26" ht="15.75" customHeight="1">
      <c r="A26" s="2" t="s">
        <v>94</v>
      </c>
      <c r="B26" s="2">
        <f t="shared" si="5"/>
        <v>1625000</v>
      </c>
      <c r="C26" s="2">
        <f t="shared" si="1"/>
        <v>230000</v>
      </c>
      <c r="D26" s="2">
        <f t="shared" si="2"/>
        <v>280000</v>
      </c>
      <c r="E26" s="2">
        <f t="shared" si="3"/>
        <v>-50000</v>
      </c>
      <c r="F26" s="2">
        <f t="shared" si="4"/>
        <v>1575000</v>
      </c>
      <c r="G26" s="2">
        <v>110000.0</v>
      </c>
      <c r="H26" s="2">
        <v>85000.0</v>
      </c>
      <c r="I26" s="2">
        <v>0.0</v>
      </c>
      <c r="J26" s="2">
        <v>35000.0</v>
      </c>
      <c r="K26" s="2">
        <v>0.0</v>
      </c>
      <c r="L26" s="2">
        <v>75000.0</v>
      </c>
      <c r="M26" s="2">
        <v>160000.0</v>
      </c>
      <c r="N26" s="2">
        <v>0.0</v>
      </c>
      <c r="O26" s="2">
        <v>45000.0</v>
      </c>
      <c r="P26" s="2">
        <v>0.0</v>
      </c>
      <c r="Q26" s="2">
        <v>0.0</v>
      </c>
      <c r="R26" s="2">
        <v>0.0</v>
      </c>
    </row>
    <row r="27" ht="15.75" customHeight="1">
      <c r="A27" s="2" t="s">
        <v>95</v>
      </c>
      <c r="B27" s="2">
        <f t="shared" si="5"/>
        <v>1575000</v>
      </c>
      <c r="C27" s="2">
        <f t="shared" si="1"/>
        <v>55000</v>
      </c>
      <c r="D27" s="2">
        <f t="shared" si="2"/>
        <v>0</v>
      </c>
      <c r="E27" s="2">
        <f t="shared" si="3"/>
        <v>55000</v>
      </c>
      <c r="F27" s="2">
        <f t="shared" si="4"/>
        <v>1630000</v>
      </c>
      <c r="G27" s="2">
        <v>0.0</v>
      </c>
      <c r="H27" s="2">
        <v>0.0</v>
      </c>
      <c r="I27" s="2">
        <v>55000.0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</row>
    <row r="28" ht="15.75" customHeight="1">
      <c r="A28" s="2" t="s">
        <v>96</v>
      </c>
      <c r="B28" s="2">
        <f t="shared" si="5"/>
        <v>1630000</v>
      </c>
      <c r="C28" s="2">
        <f t="shared" si="1"/>
        <v>0</v>
      </c>
      <c r="D28" s="2">
        <f t="shared" si="2"/>
        <v>0</v>
      </c>
      <c r="E28" s="2">
        <f t="shared" si="3"/>
        <v>0</v>
      </c>
      <c r="F28" s="2">
        <f t="shared" si="4"/>
        <v>1630000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</row>
    <row r="29" ht="15.75" customHeight="1">
      <c r="A29" s="2" t="s">
        <v>97</v>
      </c>
      <c r="B29" s="2">
        <f t="shared" si="5"/>
        <v>1630000</v>
      </c>
      <c r="C29" s="2">
        <f t="shared" si="1"/>
        <v>110000</v>
      </c>
      <c r="D29" s="2">
        <f t="shared" si="2"/>
        <v>22000</v>
      </c>
      <c r="E29" s="2">
        <f t="shared" si="3"/>
        <v>88000</v>
      </c>
      <c r="F29" s="2">
        <f t="shared" si="4"/>
        <v>1718000</v>
      </c>
      <c r="G29" s="2">
        <v>110000.0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22000.0</v>
      </c>
      <c r="O29" s="2">
        <v>0.0</v>
      </c>
      <c r="P29" s="2">
        <v>0.0</v>
      </c>
      <c r="Q29" s="2">
        <v>0.0</v>
      </c>
      <c r="R29" s="2">
        <v>0.0</v>
      </c>
    </row>
    <row r="30" ht="15.75" customHeight="1">
      <c r="A30" s="2" t="s">
        <v>98</v>
      </c>
      <c r="B30" s="2">
        <f t="shared" si="5"/>
        <v>1718000</v>
      </c>
      <c r="C30" s="2">
        <f t="shared" si="1"/>
        <v>85000</v>
      </c>
      <c r="D30" s="2">
        <f t="shared" si="2"/>
        <v>0</v>
      </c>
      <c r="E30" s="2">
        <f t="shared" si="3"/>
        <v>85000</v>
      </c>
      <c r="F30" s="2">
        <f t="shared" si="4"/>
        <v>1803000</v>
      </c>
      <c r="G30" s="2">
        <v>0.0</v>
      </c>
      <c r="H30" s="2">
        <v>85000.0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</row>
    <row r="31" ht="15.75" customHeight="1">
      <c r="A31" s="2" t="s">
        <v>99</v>
      </c>
      <c r="B31" s="2">
        <f t="shared" si="5"/>
        <v>1803000</v>
      </c>
      <c r="C31" s="2">
        <f t="shared" si="1"/>
        <v>0</v>
      </c>
      <c r="D31" s="2">
        <f t="shared" si="2"/>
        <v>0</v>
      </c>
      <c r="E31" s="2">
        <f t="shared" si="3"/>
        <v>0</v>
      </c>
      <c r="F31" s="2">
        <f t="shared" si="4"/>
        <v>1803000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5" width="12.0"/>
    <col customWidth="1" min="6" max="6" width="14.0"/>
    <col customWidth="1" min="7" max="7" width="16.0"/>
    <col customWidth="1" min="8" max="8" width="12.0"/>
    <col customWidth="1" min="9" max="9" width="16.0"/>
    <col customWidth="1" min="10" max="26" width="8.71"/>
  </cols>
  <sheetData>
    <row r="1">
      <c r="A1" s="6" t="s">
        <v>46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106</v>
      </c>
      <c r="I1" s="6" t="s">
        <v>107</v>
      </c>
    </row>
    <row r="2">
      <c r="A2" s="2" t="s">
        <v>65</v>
      </c>
      <c r="B2" s="2" t="s">
        <v>108</v>
      </c>
      <c r="C2" s="2" t="s">
        <v>109</v>
      </c>
      <c r="D2" s="2">
        <v>75000.0</v>
      </c>
      <c r="E2" s="2" t="s">
        <v>57</v>
      </c>
      <c r="F2" s="2" t="s">
        <v>110</v>
      </c>
      <c r="G2" s="2" t="s">
        <v>111</v>
      </c>
      <c r="H2" s="2">
        <v>2.0</v>
      </c>
      <c r="I2" s="2" t="s">
        <v>112</v>
      </c>
    </row>
    <row r="3">
      <c r="A3" s="2" t="s">
        <v>69</v>
      </c>
      <c r="B3" s="2" t="s">
        <v>59</v>
      </c>
      <c r="C3" s="2" t="s">
        <v>113</v>
      </c>
      <c r="D3" s="2">
        <v>22000.0</v>
      </c>
      <c r="E3" s="2" t="s">
        <v>59</v>
      </c>
      <c r="F3" s="2" t="s">
        <v>110</v>
      </c>
      <c r="G3" s="2" t="s">
        <v>111</v>
      </c>
      <c r="H3" s="2">
        <v>3.0</v>
      </c>
    </row>
    <row r="4">
      <c r="A4" s="2" t="s">
        <v>71</v>
      </c>
      <c r="B4" s="2" t="s">
        <v>114</v>
      </c>
      <c r="C4" s="2" t="s">
        <v>60</v>
      </c>
      <c r="D4" s="2">
        <v>45000.0</v>
      </c>
      <c r="E4" s="2" t="s">
        <v>60</v>
      </c>
      <c r="F4" s="2" t="s">
        <v>110</v>
      </c>
      <c r="G4" s="2" t="s">
        <v>111</v>
      </c>
      <c r="H4" s="2">
        <v>3.0</v>
      </c>
      <c r="I4" s="2" t="s">
        <v>115</v>
      </c>
    </row>
    <row r="5">
      <c r="A5" s="2" t="s">
        <v>73</v>
      </c>
      <c r="B5" s="2" t="s">
        <v>116</v>
      </c>
      <c r="C5" s="2" t="s">
        <v>61</v>
      </c>
      <c r="D5" s="2">
        <v>30000.0</v>
      </c>
      <c r="E5" s="2" t="s">
        <v>61</v>
      </c>
      <c r="F5" s="2" t="s">
        <v>110</v>
      </c>
      <c r="G5" s="2" t="s">
        <v>117</v>
      </c>
      <c r="H5" s="2">
        <v>1.0</v>
      </c>
      <c r="I5" s="2" t="s">
        <v>118</v>
      </c>
    </row>
    <row r="6">
      <c r="A6" s="2" t="s">
        <v>76</v>
      </c>
      <c r="B6" s="2" t="s">
        <v>108</v>
      </c>
      <c r="C6" s="2" t="s">
        <v>109</v>
      </c>
      <c r="D6" s="2">
        <v>75000.0</v>
      </c>
      <c r="E6" s="2" t="s">
        <v>57</v>
      </c>
      <c r="F6" s="2" t="s">
        <v>110</v>
      </c>
      <c r="G6" s="2" t="s">
        <v>111</v>
      </c>
      <c r="H6" s="2">
        <v>2.0</v>
      </c>
      <c r="I6" s="2" t="s">
        <v>112</v>
      </c>
    </row>
    <row r="7">
      <c r="A7" s="2" t="s">
        <v>77</v>
      </c>
      <c r="B7" s="2" t="s">
        <v>59</v>
      </c>
      <c r="C7" s="2" t="s">
        <v>113</v>
      </c>
      <c r="D7" s="2">
        <v>22000.0</v>
      </c>
      <c r="E7" s="2" t="s">
        <v>59</v>
      </c>
      <c r="F7" s="2" t="s">
        <v>110</v>
      </c>
      <c r="G7" s="2" t="s">
        <v>111</v>
      </c>
      <c r="H7" s="2">
        <v>3.0</v>
      </c>
    </row>
    <row r="8">
      <c r="A8" s="2" t="s">
        <v>79</v>
      </c>
      <c r="B8" s="2" t="s">
        <v>119</v>
      </c>
      <c r="C8" s="2" t="s">
        <v>58</v>
      </c>
      <c r="D8" s="2">
        <v>160000.0</v>
      </c>
      <c r="E8" s="2" t="s">
        <v>58</v>
      </c>
      <c r="F8" s="2" t="s">
        <v>110</v>
      </c>
      <c r="G8" s="2" t="s">
        <v>117</v>
      </c>
      <c r="H8" s="2">
        <v>1.0</v>
      </c>
      <c r="I8" s="2" t="s">
        <v>120</v>
      </c>
    </row>
    <row r="9">
      <c r="A9" s="2" t="s">
        <v>80</v>
      </c>
      <c r="B9" s="2" t="s">
        <v>114</v>
      </c>
      <c r="C9" s="2" t="s">
        <v>60</v>
      </c>
      <c r="D9" s="2">
        <v>45000.0</v>
      </c>
      <c r="E9" s="2" t="s">
        <v>60</v>
      </c>
      <c r="F9" s="2" t="s">
        <v>110</v>
      </c>
      <c r="G9" s="2" t="s">
        <v>111</v>
      </c>
      <c r="H9" s="2">
        <v>3.0</v>
      </c>
      <c r="I9" s="2" t="s">
        <v>115</v>
      </c>
    </row>
    <row r="10">
      <c r="A10" s="2" t="s">
        <v>82</v>
      </c>
      <c r="B10" s="2" t="s">
        <v>108</v>
      </c>
      <c r="C10" s="2" t="s">
        <v>109</v>
      </c>
      <c r="D10" s="2">
        <v>75000.0</v>
      </c>
      <c r="E10" s="2" t="s">
        <v>57</v>
      </c>
      <c r="F10" s="2" t="s">
        <v>110</v>
      </c>
      <c r="G10" s="2" t="s">
        <v>111</v>
      </c>
      <c r="H10" s="2">
        <v>2.0</v>
      </c>
      <c r="I10" s="2" t="s">
        <v>112</v>
      </c>
    </row>
    <row r="11">
      <c r="A11" s="2" t="s">
        <v>82</v>
      </c>
      <c r="B11" s="2" t="s">
        <v>59</v>
      </c>
      <c r="C11" s="2" t="s">
        <v>113</v>
      </c>
      <c r="D11" s="2">
        <v>22000.0</v>
      </c>
      <c r="E11" s="2" t="s">
        <v>59</v>
      </c>
      <c r="F11" s="2" t="s">
        <v>110</v>
      </c>
      <c r="G11" s="2" t="s">
        <v>111</v>
      </c>
      <c r="H11" s="2">
        <v>3.0</v>
      </c>
    </row>
    <row r="12">
      <c r="A12" s="2" t="s">
        <v>84</v>
      </c>
      <c r="B12" s="2" t="s">
        <v>121</v>
      </c>
      <c r="C12" s="2" t="s">
        <v>62</v>
      </c>
      <c r="D12" s="2">
        <v>95000.0</v>
      </c>
      <c r="E12" s="2" t="s">
        <v>62</v>
      </c>
      <c r="F12" s="2" t="s">
        <v>110</v>
      </c>
      <c r="G12" s="2" t="s">
        <v>117</v>
      </c>
      <c r="H12" s="2">
        <v>1.0</v>
      </c>
      <c r="I12" s="2" t="s">
        <v>122</v>
      </c>
    </row>
    <row r="13">
      <c r="A13" s="2" t="s">
        <v>87</v>
      </c>
      <c r="B13" s="2" t="s">
        <v>114</v>
      </c>
      <c r="C13" s="2" t="s">
        <v>60</v>
      </c>
      <c r="D13" s="2">
        <v>45000.0</v>
      </c>
      <c r="E13" s="2" t="s">
        <v>60</v>
      </c>
      <c r="F13" s="2" t="s">
        <v>110</v>
      </c>
      <c r="G13" s="2" t="s">
        <v>111</v>
      </c>
      <c r="H13" s="2">
        <v>3.0</v>
      </c>
      <c r="I13" s="2" t="s">
        <v>115</v>
      </c>
    </row>
    <row r="14">
      <c r="A14" s="2" t="s">
        <v>87</v>
      </c>
      <c r="B14" s="2" t="s">
        <v>59</v>
      </c>
      <c r="C14" s="2" t="s">
        <v>113</v>
      </c>
      <c r="D14" s="2">
        <v>22000.0</v>
      </c>
      <c r="E14" s="2" t="s">
        <v>59</v>
      </c>
      <c r="F14" s="2" t="s">
        <v>110</v>
      </c>
      <c r="G14" s="2" t="s">
        <v>111</v>
      </c>
      <c r="H14" s="2">
        <v>3.0</v>
      </c>
    </row>
    <row r="15">
      <c r="A15" s="2" t="s">
        <v>88</v>
      </c>
      <c r="B15" s="2" t="s">
        <v>108</v>
      </c>
      <c r="C15" s="2" t="s">
        <v>109</v>
      </c>
      <c r="D15" s="2">
        <v>75000.0</v>
      </c>
      <c r="E15" s="2" t="s">
        <v>57</v>
      </c>
      <c r="F15" s="2" t="s">
        <v>110</v>
      </c>
      <c r="G15" s="2" t="s">
        <v>111</v>
      </c>
      <c r="H15" s="2">
        <v>2.0</v>
      </c>
      <c r="I15" s="2" t="s">
        <v>112</v>
      </c>
    </row>
    <row r="16">
      <c r="A16" s="2" t="s">
        <v>92</v>
      </c>
      <c r="B16" s="2" t="s">
        <v>59</v>
      </c>
      <c r="C16" s="2" t="s">
        <v>113</v>
      </c>
      <c r="D16" s="2">
        <v>22000.0</v>
      </c>
      <c r="E16" s="2" t="s">
        <v>59</v>
      </c>
      <c r="F16" s="2" t="s">
        <v>110</v>
      </c>
      <c r="G16" s="2" t="s">
        <v>111</v>
      </c>
      <c r="H16" s="2">
        <v>3.0</v>
      </c>
    </row>
    <row r="17">
      <c r="A17" s="2" t="s">
        <v>94</v>
      </c>
      <c r="B17" s="2" t="s">
        <v>119</v>
      </c>
      <c r="C17" s="2" t="s">
        <v>58</v>
      </c>
      <c r="D17" s="2">
        <v>160000.0</v>
      </c>
      <c r="E17" s="2" t="s">
        <v>58</v>
      </c>
      <c r="F17" s="2" t="s">
        <v>110</v>
      </c>
      <c r="G17" s="2" t="s">
        <v>117</v>
      </c>
      <c r="H17" s="2">
        <v>1.0</v>
      </c>
      <c r="I17" s="2" t="s">
        <v>120</v>
      </c>
    </row>
    <row r="18">
      <c r="A18" s="2" t="s">
        <v>94</v>
      </c>
      <c r="B18" s="2" t="s">
        <v>108</v>
      </c>
      <c r="C18" s="2" t="s">
        <v>109</v>
      </c>
      <c r="D18" s="2">
        <v>75000.0</v>
      </c>
      <c r="E18" s="2" t="s">
        <v>57</v>
      </c>
      <c r="F18" s="2" t="s">
        <v>110</v>
      </c>
      <c r="G18" s="2" t="s">
        <v>111</v>
      </c>
      <c r="H18" s="2">
        <v>2.0</v>
      </c>
      <c r="I18" s="2" t="s">
        <v>112</v>
      </c>
    </row>
    <row r="19">
      <c r="A19" s="2" t="s">
        <v>94</v>
      </c>
      <c r="B19" s="2" t="s">
        <v>114</v>
      </c>
      <c r="C19" s="2" t="s">
        <v>60</v>
      </c>
      <c r="D19" s="2">
        <v>45000.0</v>
      </c>
      <c r="E19" s="2" t="s">
        <v>60</v>
      </c>
      <c r="F19" s="2" t="s">
        <v>110</v>
      </c>
      <c r="G19" s="2" t="s">
        <v>111</v>
      </c>
      <c r="H19" s="2">
        <v>3.0</v>
      </c>
      <c r="I19" s="2" t="s">
        <v>115</v>
      </c>
    </row>
    <row r="20">
      <c r="A20" s="2" t="s">
        <v>97</v>
      </c>
      <c r="B20" s="2" t="s">
        <v>59</v>
      </c>
      <c r="C20" s="2" t="s">
        <v>113</v>
      </c>
      <c r="D20" s="2">
        <v>22000.0</v>
      </c>
      <c r="E20" s="2" t="s">
        <v>59</v>
      </c>
      <c r="F20" s="2" t="s">
        <v>110</v>
      </c>
      <c r="G20" s="2" t="s">
        <v>111</v>
      </c>
      <c r="H20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5" width="12.0"/>
    <col customWidth="1" min="6" max="6" width="15.0"/>
    <col customWidth="1" min="7" max="7" width="12.0"/>
    <col customWidth="1" min="8" max="8" width="22.0"/>
    <col customWidth="1" min="9" max="9" width="12.0"/>
    <col customWidth="1" min="10" max="26" width="8.71"/>
  </cols>
  <sheetData>
    <row r="1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</row>
    <row r="2">
      <c r="A2" s="2" t="s">
        <v>132</v>
      </c>
      <c r="B2" s="2" t="s">
        <v>52</v>
      </c>
      <c r="C2" s="2" t="s">
        <v>133</v>
      </c>
      <c r="D2" s="2" t="s">
        <v>134</v>
      </c>
      <c r="E2" s="2">
        <v>1500000.0</v>
      </c>
      <c r="F2" s="2">
        <v>480000.0</v>
      </c>
      <c r="G2" s="2">
        <v>420000.0</v>
      </c>
      <c r="H2" s="2">
        <f t="shared" ref="H2:H6" si="1">E2-F2-G2</f>
        <v>600000</v>
      </c>
      <c r="I2" s="2">
        <f t="shared" ref="I2:I6" si="2">H2/E2</f>
        <v>0.4</v>
      </c>
    </row>
    <row r="3">
      <c r="A3" s="2" t="s">
        <v>132</v>
      </c>
      <c r="B3" s="2" t="s">
        <v>53</v>
      </c>
      <c r="C3" s="2" t="s">
        <v>133</v>
      </c>
      <c r="D3" s="2" t="s">
        <v>134</v>
      </c>
      <c r="E3" s="2">
        <v>1050000.0</v>
      </c>
      <c r="F3" s="2">
        <v>350000.0</v>
      </c>
      <c r="G3" s="2">
        <v>310000.0</v>
      </c>
      <c r="H3" s="2">
        <f t="shared" si="1"/>
        <v>390000</v>
      </c>
      <c r="I3" s="2">
        <f t="shared" si="2"/>
        <v>0.3714285714</v>
      </c>
    </row>
    <row r="4">
      <c r="A4" s="2" t="s">
        <v>132</v>
      </c>
      <c r="B4" s="2" t="s">
        <v>54</v>
      </c>
      <c r="C4" s="2" t="s">
        <v>133</v>
      </c>
      <c r="D4" s="2" t="s">
        <v>134</v>
      </c>
      <c r="E4" s="2">
        <v>520000.0</v>
      </c>
      <c r="F4" s="2">
        <v>190000.0</v>
      </c>
      <c r="G4" s="2">
        <v>170000.0</v>
      </c>
      <c r="H4" s="2">
        <f t="shared" si="1"/>
        <v>160000</v>
      </c>
      <c r="I4" s="2">
        <f t="shared" si="2"/>
        <v>0.3076923077</v>
      </c>
    </row>
    <row r="5">
      <c r="A5" s="2" t="s">
        <v>132</v>
      </c>
      <c r="B5" s="2" t="s">
        <v>55</v>
      </c>
      <c r="C5" s="2" t="s">
        <v>133</v>
      </c>
      <c r="D5" s="2" t="s">
        <v>135</v>
      </c>
      <c r="E5" s="2">
        <v>260000.0</v>
      </c>
      <c r="F5" s="2">
        <v>110000.0</v>
      </c>
      <c r="G5" s="2">
        <v>30000.0</v>
      </c>
      <c r="H5" s="2">
        <f t="shared" si="1"/>
        <v>120000</v>
      </c>
      <c r="I5" s="2">
        <f t="shared" si="2"/>
        <v>0.4615384615</v>
      </c>
    </row>
    <row r="6">
      <c r="A6" s="2" t="s">
        <v>132</v>
      </c>
      <c r="B6" s="2" t="s">
        <v>136</v>
      </c>
      <c r="C6" s="2" t="s">
        <v>137</v>
      </c>
      <c r="D6" s="2" t="s">
        <v>138</v>
      </c>
      <c r="E6" s="2">
        <v>180000.0</v>
      </c>
      <c r="F6" s="2">
        <v>140000.0</v>
      </c>
      <c r="G6" s="2">
        <v>25000.0</v>
      </c>
      <c r="H6" s="2">
        <f t="shared" si="1"/>
        <v>15000</v>
      </c>
      <c r="I6" s="2">
        <f t="shared" si="2"/>
        <v>0.08333333333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3" width="34.0"/>
    <col customWidth="1" min="4" max="26" width="8.71"/>
  </cols>
  <sheetData>
    <row r="1">
      <c r="A1" s="8" t="s">
        <v>139</v>
      </c>
    </row>
    <row r="2">
      <c r="A2" s="2" t="s">
        <v>140</v>
      </c>
      <c r="B2" s="2" t="s">
        <v>141</v>
      </c>
      <c r="C2" s="2" t="s">
        <v>142</v>
      </c>
    </row>
    <row r="3">
      <c r="A3" s="2" t="s">
        <v>143</v>
      </c>
      <c r="B3" s="2" t="b">
        <f>Cash_Flow!U5&gt;=1.5*Cash_Flow!U2</f>
        <v>0</v>
      </c>
      <c r="C3" s="2" t="str">
        <f>=Cash_Flow!U5&gt;=1.5*Cash_Flow!U2</f>
        <v>#ERROR!</v>
      </c>
    </row>
    <row r="4">
      <c r="A4" s="2" t="s">
        <v>144</v>
      </c>
      <c r="B4" s="2" t="b">
        <f>Cash_Flow!U6&gt;=Cash_Flow!U2/2</f>
        <v>1</v>
      </c>
      <c r="C4" s="2" t="str">
        <f>=Cash_Flow!U6&gt;=Cash_Flow!U2/2</f>
        <v>#ERROR!</v>
      </c>
    </row>
    <row r="5">
      <c r="A5" s="2" t="s">
        <v>145</v>
      </c>
      <c r="B5" s="2" t="str">
        <f>AVERAGE(P&amp;L_CEO!I2:I6)&gt;=0.2</f>
        <v>#NAME?</v>
      </c>
      <c r="C5" s="2" t="str">
        <f>=AVERAGE(P&amp;L_CEO!I2:I6)&gt;=0.2</f>
        <v>#ERROR!</v>
      </c>
    </row>
    <row r="6">
      <c r="A6" s="2" t="s">
        <v>146</v>
      </c>
      <c r="B6" s="2" t="b">
        <f>Cash_Flow!U5&gt;=3*Cash_Flow!U2</f>
        <v>0</v>
      </c>
      <c r="C6" s="2" t="str">
        <f>=Cash_Flow!U5&gt;=3*Cash_Flow!U2</f>
        <v>#ERROR!</v>
      </c>
    </row>
    <row r="7">
      <c r="A7" s="2" t="s">
        <v>147</v>
      </c>
      <c r="B7" s="2" t="b">
        <f>Cash_Flow!U6&gt;=Cash_Flow!U2</f>
        <v>1</v>
      </c>
      <c r="C7" s="2" t="str">
        <f>=Cash_Flow!U6&gt;=Cash_Flow!U2</f>
        <v>#ERROR!</v>
      </c>
    </row>
    <row r="9">
      <c r="A9" s="2" t="s">
        <v>148</v>
      </c>
      <c r="B9" s="2" t="str">
        <f>IF(AND(C6,C7),"ЗЕЛЁНЫЙ x3",IF(AND(C3,C4,C5),"ЗЕЛЁНЫЙ x2",IF(OR(Cash_Flow!U5&lt;Cash_Flow!U2,Cash_Flow!U6&lt;=0),"КРАСНЫЙ","ЖЁЛТЫЙ")))</f>
        <v>#ERROR!</v>
      </c>
    </row>
    <row r="10">
      <c r="A10" s="2" t="s">
        <v>149</v>
      </c>
      <c r="B10" s="2" t="str">
        <f>IF(B9="ЗЕЛЁНЫЙ x3","Разрешён рост x3: новые каналы, найм, рынки",IF(B9="ЗЕЛЁНЫЙ x2","Разрешён рост x2: масштабировать работающую модель",IF(B9="ЖЁЛТЫЙ","Только стабилизация и подготовка","Рост запрещён. Экономия и контроль")))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7.0"/>
    <col customWidth="1" min="3" max="3" width="31.0"/>
    <col customWidth="1" min="4" max="4" width="25.0"/>
    <col customWidth="1" min="5" max="26" width="8.71"/>
  </cols>
  <sheetData>
    <row r="1">
      <c r="A1" s="2" t="s">
        <v>150</v>
      </c>
      <c r="B1" s="2" t="s">
        <v>151</v>
      </c>
      <c r="C1" s="2" t="s">
        <v>152</v>
      </c>
      <c r="D1" s="2" t="s">
        <v>153</v>
      </c>
    </row>
    <row r="2">
      <c r="A2" s="2" t="s">
        <v>154</v>
      </c>
      <c r="B2" s="2" t="s">
        <v>155</v>
      </c>
      <c r="C2" s="2" t="s">
        <v>156</v>
      </c>
      <c r="D2" s="2" t="s">
        <v>157</v>
      </c>
    </row>
    <row r="3">
      <c r="A3" s="2" t="s">
        <v>158</v>
      </c>
      <c r="B3" s="2" t="s">
        <v>159</v>
      </c>
      <c r="C3" s="2" t="s">
        <v>160</v>
      </c>
      <c r="D3" s="2" t="s">
        <v>161</v>
      </c>
    </row>
    <row r="4">
      <c r="A4" s="2" t="s">
        <v>162</v>
      </c>
      <c r="B4" s="2" t="s">
        <v>163</v>
      </c>
      <c r="C4" s="2" t="s">
        <v>164</v>
      </c>
      <c r="D4" s="2" t="s">
        <v>165</v>
      </c>
    </row>
    <row r="5">
      <c r="A5" s="2" t="s">
        <v>166</v>
      </c>
      <c r="B5" s="2" t="s">
        <v>167</v>
      </c>
      <c r="C5" s="2" t="s">
        <v>168</v>
      </c>
      <c r="D5" s="2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60.0"/>
    <col customWidth="1" min="3" max="26" width="8.71"/>
  </cols>
  <sheetData>
    <row r="1">
      <c r="A1" s="9" t="s">
        <v>170</v>
      </c>
      <c r="B1" s="9" t="s">
        <v>171</v>
      </c>
    </row>
    <row r="2">
      <c r="A2" s="2" t="s">
        <v>172</v>
      </c>
      <c r="B2" s="2" t="s">
        <v>173</v>
      </c>
    </row>
    <row r="3">
      <c r="A3" s="2" t="s">
        <v>174</v>
      </c>
      <c r="B3" s="2" t="s">
        <v>175</v>
      </c>
    </row>
    <row r="4">
      <c r="A4" s="2" t="s">
        <v>176</v>
      </c>
      <c r="B4" s="2" t="s">
        <v>177</v>
      </c>
    </row>
    <row r="5">
      <c r="A5" s="2" t="s">
        <v>178</v>
      </c>
      <c r="B5" s="2" t="s">
        <v>179</v>
      </c>
    </row>
    <row r="6">
      <c r="A6" s="2" t="s">
        <v>180</v>
      </c>
      <c r="B6" s="2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