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_config" sheetId="1" r:id="rId5"/>
    <sheet state="visible" name="capacity_inputs" sheetId="2" r:id="rId6"/>
    <sheet state="visible" name="OPS_Capacity_Model" sheetId="3" r:id="rId7"/>
    <sheet state="visible" name="Capacity_By_SKU_Group" sheetId="4" r:id="rId8"/>
    <sheet state="visible" name="OPS_Reglament" sheetId="5" r:id="rId9"/>
  </sheets>
  <definedNames/>
  <calcPr/>
</workbook>
</file>

<file path=xl/sharedStrings.xml><?xml version="1.0" encoding="utf-8"?>
<sst xmlns="http://schemas.openxmlformats.org/spreadsheetml/2006/main" count="204" uniqueCount="167">
  <si>
    <t>key</t>
  </si>
  <si>
    <t>value</t>
  </si>
  <si>
    <t>comment</t>
  </si>
  <si>
    <t>OPS_CAPACITY_MODEL_SHEET_ID</t>
  </si>
  <si>
    <t>ID этого файла Google Sheets после загрузки.</t>
  </si>
  <si>
    <t>OPS_DB_SHEET_ID</t>
  </si>
  <si>
    <t>ID OPS_DB (факты производства/сборки/отгрузок).</t>
  </si>
  <si>
    <t>CONTROL_MODEL_SHEET_ID</t>
  </si>
  <si>
    <t>ID Control Model (нормативы/роли/сценарии).</t>
  </si>
  <si>
    <t>TIMEZONE</t>
  </si>
  <si>
    <t>Europe/Berlin</t>
  </si>
  <si>
    <t>Таймзона.</t>
  </si>
  <si>
    <t>ENV</t>
  </si>
  <si>
    <t>prod</t>
  </si>
  <si>
    <t>Окружение dev/prod.</t>
  </si>
  <si>
    <t>CAPACITY_SOURCE</t>
  </si>
  <si>
    <t>manual_then_opsdb</t>
  </si>
  <si>
    <t>Источник мощности: manual_then_opsdb (P0), opsdb_actuals (P1).</t>
  </si>
  <si>
    <t>NOTE</t>
  </si>
  <si>
    <t>План мощности = прогноз. Факт мощности — из OPS_DB (events_log/picking_lines/batches).</t>
  </si>
  <si>
    <t>Памятка.</t>
  </si>
  <si>
    <t>input</t>
  </si>
  <si>
    <t>unit</t>
  </si>
  <si>
    <t>workday_hours</t>
  </si>
  <si>
    <t>hours</t>
  </si>
  <si>
    <t>Сколько часов в смене.</t>
  </si>
  <si>
    <t>shifts_per_day</t>
  </si>
  <si>
    <t>count</t>
  </si>
  <si>
    <t>Смен в день.</t>
  </si>
  <si>
    <t>utilization_cap</t>
  </si>
  <si>
    <t>ratio</t>
  </si>
  <si>
    <t>Предельная загрузка (чтобы не ломать людей).</t>
  </si>
  <si>
    <t>buffer_for_chaos</t>
  </si>
  <si>
    <t>Буфер под авралы/тупёж/потери.</t>
  </si>
  <si>
    <t>OPS_Capacity_Model — модель мощности и узких мест</t>
  </si>
  <si>
    <t>БЛОК 1. Нормы времени (ввод)</t>
  </si>
  <si>
    <t>Параметр</t>
  </si>
  <si>
    <t>Ед.</t>
  </si>
  <si>
    <t>Значение</t>
  </si>
  <si>
    <t>Комментарий</t>
  </si>
  <si>
    <t>Время подготовки смеси на партию</t>
  </si>
  <si>
    <t>мин/партия</t>
  </si>
  <si>
    <t>1 замес</t>
  </si>
  <si>
    <t>Размер партии</t>
  </si>
  <si>
    <t>шт/партия</t>
  </si>
  <si>
    <t>Сколько изделий в одном замесе</t>
  </si>
  <si>
    <t>Лепка (формование)</t>
  </si>
  <si>
    <t>мин/шт</t>
  </si>
  <si>
    <t>Ручная формовка</t>
  </si>
  <si>
    <t>Контроль качества</t>
  </si>
  <si>
    <t>Визуал + вес</t>
  </si>
  <si>
    <t>Упаковка</t>
  </si>
  <si>
    <t>Коробка + вкладыш</t>
  </si>
  <si>
    <t>Сушка (стабилизация)</t>
  </si>
  <si>
    <t>час/партия</t>
  </si>
  <si>
    <t>Параллельный процесс</t>
  </si>
  <si>
    <t>Вместимость одной полки</t>
  </si>
  <si>
    <t>шт</t>
  </si>
  <si>
    <t>Одновременная вместимость</t>
  </si>
  <si>
    <t>БЛОК 2. Ресурсы (ввод)</t>
  </si>
  <si>
    <t>Этап</t>
  </si>
  <si>
    <t>Ресурс</t>
  </si>
  <si>
    <t>Кол-во</t>
  </si>
  <si>
    <t>Часов/день</t>
  </si>
  <si>
    <t>Подготовка смеси</t>
  </si>
  <si>
    <t>Сотрудники</t>
  </si>
  <si>
    <t>Один универсал</t>
  </si>
  <si>
    <t>Лепка</t>
  </si>
  <si>
    <t>Узкое место в демо</t>
  </si>
  <si>
    <t>Сушка</t>
  </si>
  <si>
    <t>Полки</t>
  </si>
  <si>
    <t>Не ограничивает, если хватает</t>
  </si>
  <si>
    <t>Частичная занятость</t>
  </si>
  <si>
    <t>После обеда</t>
  </si>
  <si>
    <t>БЛОК 3. Расчёт мощности по этапам (авто)</t>
  </si>
  <si>
    <t>Формула (человеческим)</t>
  </si>
  <si>
    <t>Мощность, шт/день</t>
  </si>
  <si>
    <t>Примечание</t>
  </si>
  <si>
    <t>(люди×часы×60 / мин_на_партию) × размер_партии</t>
  </si>
  <si>
    <t>Ограничение по замесам</t>
  </si>
  <si>
    <t>люди×часы×60 / мин_на_шт</t>
  </si>
  <si>
    <t>Часто узкое место</t>
  </si>
  <si>
    <t>Сушка / стабилизация</t>
  </si>
  <si>
    <t>полки×вместимость×(24/часов_сушки)</t>
  </si>
  <si>
    <t>Если сушка &gt;24ч — скорректируй формулу</t>
  </si>
  <si>
    <t>Запас желателен</t>
  </si>
  <si>
    <t>Часто второй узел</t>
  </si>
  <si>
    <t>БЛОК 4. Итог и управленческие выводы (авто)</t>
  </si>
  <si>
    <t>Фактическая мощность (узкое место)</t>
  </si>
  <si>
    <t>шт/день</t>
  </si>
  <si>
    <t>Минимум по всем этапам</t>
  </si>
  <si>
    <t>Безопасный план (85% мощности)</t>
  </si>
  <si>
    <t>Планировать на 100% запрещено</t>
  </si>
  <si>
    <t>Цель x2 (от безопасного плана)</t>
  </si>
  <si>
    <t>Требует усиления узкого места</t>
  </si>
  <si>
    <t>Цель x3 (от безопасного плана)</t>
  </si>
  <si>
    <t>Только при устойчивой системе</t>
  </si>
  <si>
    <t>Узкое место (этап)</t>
  </si>
  <si>
    <t>Куда давить для роста</t>
  </si>
  <si>
    <t>БЛОК 5. Подсказки по росту (x2/x3) — авто</t>
  </si>
  <si>
    <t>Если узкое место = Лепка: сколько людей нужно на цели (при текущих часах и норме)</t>
  </si>
  <si>
    <t>Требуемые лепщики для x2</t>
  </si>
  <si>
    <t>чел</t>
  </si>
  <si>
    <t>Сравни с текущими (Блок 2, лепка)</t>
  </si>
  <si>
    <t>Требуемые лепщики для x3</t>
  </si>
  <si>
    <t>Если слишком много — думай про смены/оснастку</t>
  </si>
  <si>
    <t>Capacity_By_SKU_Group — мощность по группам SKU (ядро/наборы/распродажа)</t>
  </si>
  <si>
    <t>Идея:</t>
  </si>
  <si>
    <t>разные SKU/группы требуют разного времени → мощность считается по «средневзвешенной норме» на группу.</t>
  </si>
  <si>
    <t>БЛОК 1. Ввод по группам</t>
  </si>
  <si>
    <t>Группа SKU</t>
  </si>
  <si>
    <t>Доля плана</t>
  </si>
  <si>
    <t>Мин/шт Лепка</t>
  </si>
  <si>
    <t>Мин/шт Упаковка</t>
  </si>
  <si>
    <t>Мин/шт QC</t>
  </si>
  <si>
    <t>Мин/партия смесь</t>
  </si>
  <si>
    <t>Часы сушки</t>
  </si>
  <si>
    <t>Solace_ядро</t>
  </si>
  <si>
    <t>Solace_наборы</t>
  </si>
  <si>
    <t>Lolsoap_распродажа</t>
  </si>
  <si>
    <t>БЛОК 2. Средневзвешенные нормы (авто)</t>
  </si>
  <si>
    <t>Показатель</t>
  </si>
  <si>
    <t>Формула</t>
  </si>
  <si>
    <t>Доля плана (проверка = 100%)</t>
  </si>
  <si>
    <t>Сумма долей должна быть 1,0 (100%)</t>
  </si>
  <si>
    <t>Средневзвеш. Лепка (мин/шт)</t>
  </si>
  <si>
    <t>SUMPRODUCT(доля; норма)</t>
  </si>
  <si>
    <t>Средневзвеш. Упаковка (мин/шт)</t>
  </si>
  <si>
    <t>Средневзвеш. QC (мин/шт)</t>
  </si>
  <si>
    <t>Размер партии (шт)</t>
  </si>
  <si>
    <t>Берём из основной модели</t>
  </si>
  <si>
    <t>Мин на партию смесь</t>
  </si>
  <si>
    <t>Часы сушки (на партию)</t>
  </si>
  <si>
    <t>БЛОК 3. Мощность по этапам с учётом микса SKU (авто)</t>
  </si>
  <si>
    <t>Смесь</t>
  </si>
  <si>
    <t>Не зависит от микса SKU (если рецептура одинаковая по процессу)</t>
  </si>
  <si>
    <t>Учитывает средневзвешенную норму лепки</t>
  </si>
  <si>
    <t>Грубая оценка; точнее — по площадям/партиям</t>
  </si>
  <si>
    <t>QC</t>
  </si>
  <si>
    <t>Учитывает средневзвешенную норму QC</t>
  </si>
  <si>
    <t>Учитывает средневзвешенную норму упаковки</t>
  </si>
  <si>
    <t>Итоговая мощность (узкое место)</t>
  </si>
  <si>
    <t>Минимум по этапам</t>
  </si>
  <si>
    <t>Безопасный план (85%)</t>
  </si>
  <si>
    <t>OPS_Capacity_Model — Операционный регламент</t>
  </si>
  <si>
    <t>Цель регламента</t>
  </si>
  <si>
    <t>Зафиксировать единые правила расчёта мощности производства, выявления узких мест и допустимых объёмов плана. Регламент обязателен для COO, производства, планирования и закупок.</t>
  </si>
  <si>
    <t>Принцип управления мощностью</t>
  </si>
  <si>
    <t>План производства формируется только на основе рассчитанной мощности. Запрещено планировать выпуск выше безопасной мощности (85% от фактической).</t>
  </si>
  <si>
    <t>Источник истины</t>
  </si>
  <si>
    <t>Единственным источником данных по мощности является файл OPS_Capacity_Model. Все устные договорённости и альтернативные расчёты недействительны.</t>
  </si>
  <si>
    <t>Периодичность обновления</t>
  </si>
  <si>
    <t>Нормы времени — пересматриваются при изменении рецептуры или технологии.
Ресурсы (люди, часы, оборудование) — обновляются при любых изменениях состава смены.
Пересчёт мощности — минимум 1 раз в месяц и при каждом решении о росте.</t>
  </si>
  <si>
    <t>Узкое место</t>
  </si>
  <si>
    <t>Узким местом считается этап с минимальной рассчитанной мощностью.
Все инициативы по росту начинаются с расширения узкого места.</t>
  </si>
  <si>
    <t>Правило роста x2</t>
  </si>
  <si>
    <t>Рост x2 разрешён только при заранее рассчитанном расширении узкого места и подтверждённой возможности удерживать безопасный план.</t>
  </si>
  <si>
    <t>Правило роста x3</t>
  </si>
  <si>
    <t>Рост x3 допускается только при наличии резервов по людям и времени (не менее двух независимых ресурсов на узком этапе).</t>
  </si>
  <si>
    <t>Связь с планированием</t>
  </si>
  <si>
    <t>OPS_Capacity_Model используется как ограничитель для OPS_Production_Plan. План, превышающий допустимую мощность, считается ошибочным и подлежит пересмотру.</t>
  </si>
  <si>
    <t>Ответственность</t>
  </si>
  <si>
    <t>COO отвечает за актуальность данных и корректность расчётов.
CEO утверждает решения о росте и изменении мощности.
Производство обязано исполнять план в рамках установленной мощности.</t>
  </si>
  <si>
    <t>Запреты</t>
  </si>
  <si>
    <t>Запрещено:
— планировать выпуск «с запасом»;
— компенсировать нехватку мощности авралами;
— игнорировать расчёт узкого места.</t>
  </si>
  <si>
    <t>Результат применения</t>
  </si>
  <si>
    <t>Стабильный выпуск без перегрузки людей.
Предсказуемое масштабирование.
Отсутствие скрытых операционных рисков.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</si>
</sst>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sz val="13.0"/>
      <color rgb="FFFFFFFF"/>
      <name val="Calibri"/>
      <scheme val="minor"/>
    </font>
    <font>
      <b/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3" fontId="1" numFmtId="0" xfId="0" applyAlignment="1" applyBorder="1" applyFill="1" applyFont="1">
      <alignment vertical="center"/>
    </xf>
    <xf borderId="4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4" fillId="0" fontId="5" numFmtId="0" xfId="0" applyAlignment="1" applyBorder="1" applyFont="1">
      <alignment shrinkToFit="0" vertical="top" wrapText="1"/>
    </xf>
    <xf borderId="4" fillId="0" fontId="5" numFmtId="1" xfId="0" applyAlignment="1" applyBorder="1" applyFont="1" applyNumberForma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4" fillId="0" fontId="5" numFmtId="164" xfId="0" applyAlignment="1" applyBorder="1" applyFont="1" applyNumberFormat="1">
      <alignment shrinkToFit="0" vertical="top" wrapText="1"/>
    </xf>
    <xf borderId="1" fillId="3" fontId="1" numFmtId="0" xfId="0" applyBorder="1" applyFont="1"/>
    <xf borderId="0" fillId="0" fontId="5" numFmtId="1" xfId="0" applyFont="1" applyNumberFormat="1"/>
    <xf borderId="5" fillId="0" fontId="1" numFmtId="0" xfId="0" applyAlignment="1" applyBorder="1" applyFont="1">
      <alignment shrinkToFit="0" vertical="top" wrapText="1"/>
    </xf>
    <xf borderId="1" fillId="2" fontId="6" numFmtId="0" xfId="0" applyAlignment="1" applyBorder="1" applyFont="1">
      <alignment horizontal="center" vertical="center"/>
    </xf>
    <xf borderId="0" fillId="0" fontId="1" numFmtId="0" xfId="0" applyFont="1"/>
    <xf borderId="0" fillId="0" fontId="5" numFmtId="0" xfId="0" applyAlignment="1" applyFont="1">
      <alignment shrinkToFit="0" vertical="top" wrapText="1"/>
    </xf>
    <xf borderId="4" fillId="4" fontId="7" numFmtId="0" xfId="0" applyAlignment="1" applyBorder="1" applyFont="1">
      <alignment horizontal="center" shrinkToFit="0" vertical="center" wrapText="1"/>
    </xf>
    <xf borderId="4" fillId="0" fontId="5" numFmtId="9" xfId="0" applyAlignment="1" applyBorder="1" applyFont="1" applyNumberFormat="1">
      <alignment shrinkToFit="0" vertical="top" wrapText="1"/>
    </xf>
    <xf borderId="5" fillId="4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shrinkToFit="0" vertical="top" wrapText="1"/>
    </xf>
    <xf borderId="4" fillId="5" fontId="7" numFmtId="1" xfId="0" applyAlignment="1" applyBorder="1" applyFont="1" applyNumberFormat="1">
      <alignment shrinkToFit="0" vertical="top" wrapText="1"/>
    </xf>
    <xf borderId="5" fillId="5" fontId="7" numFmtId="0" xfId="0" applyAlignment="1" applyBorder="1" applyFont="1">
      <alignment shrinkToFit="0" vertical="top" wrapText="1"/>
    </xf>
    <xf borderId="4" fillId="4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42.0"/>
    <col customWidth="1" min="3" max="3" width="74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 t="s">
        <v>4</v>
      </c>
    </row>
    <row r="3">
      <c r="A3" s="2" t="s">
        <v>5</v>
      </c>
      <c r="C3" s="2" t="s">
        <v>6</v>
      </c>
    </row>
    <row r="4">
      <c r="A4" s="2" t="s">
        <v>7</v>
      </c>
      <c r="C4" s="2" t="s">
        <v>8</v>
      </c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16</v>
      </c>
      <c r="C7" s="2" t="s">
        <v>17</v>
      </c>
    </row>
    <row r="8">
      <c r="A8" s="2" t="s">
        <v>18</v>
      </c>
      <c r="B8" s="2" t="s">
        <v>19</v>
      </c>
      <c r="C8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14.0"/>
    <col customWidth="1" min="4" max="4" width="17.0"/>
    <col customWidth="1" min="5" max="26" width="8.71"/>
  </cols>
  <sheetData>
    <row r="1">
      <c r="A1" s="3" t="s">
        <v>21</v>
      </c>
      <c r="B1" s="3" t="s">
        <v>1</v>
      </c>
      <c r="C1" s="3" t="s">
        <v>22</v>
      </c>
      <c r="D1" s="3" t="s">
        <v>2</v>
      </c>
    </row>
    <row r="2">
      <c r="A2" s="2" t="s">
        <v>23</v>
      </c>
      <c r="B2" s="2">
        <v>8.0</v>
      </c>
      <c r="C2" s="2" t="s">
        <v>24</v>
      </c>
      <c r="D2" s="2" t="s">
        <v>25</v>
      </c>
    </row>
    <row r="3">
      <c r="A3" s="2" t="s">
        <v>26</v>
      </c>
      <c r="B3" s="2">
        <v>1.0</v>
      </c>
      <c r="C3" s="2" t="s">
        <v>27</v>
      </c>
      <c r="D3" s="2" t="s">
        <v>28</v>
      </c>
    </row>
    <row r="4">
      <c r="A4" s="2" t="s">
        <v>29</v>
      </c>
      <c r="B4" s="2">
        <v>0.85</v>
      </c>
      <c r="C4" s="2" t="s">
        <v>30</v>
      </c>
      <c r="D4" s="2" t="s">
        <v>31</v>
      </c>
    </row>
    <row r="5">
      <c r="A5" s="2" t="s">
        <v>32</v>
      </c>
      <c r="B5" s="2">
        <v>0.15</v>
      </c>
      <c r="C5" s="2" t="s">
        <v>30</v>
      </c>
      <c r="D5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22.0"/>
    <col customWidth="1" min="3" max="3" width="18.0"/>
    <col customWidth="1" min="4" max="4" width="30.0"/>
    <col customWidth="1" min="5" max="7" width="18.0"/>
    <col customWidth="1" min="8" max="26" width="8.71"/>
  </cols>
  <sheetData>
    <row r="1" ht="27.75" customHeight="1">
      <c r="A1" s="4" t="s">
        <v>34</v>
      </c>
      <c r="B1" s="5"/>
      <c r="C1" s="5"/>
      <c r="D1" s="5"/>
      <c r="E1" s="5"/>
      <c r="F1" s="5"/>
      <c r="G1" s="6"/>
    </row>
    <row r="3">
      <c r="A3" s="7" t="s">
        <v>35</v>
      </c>
      <c r="B3" s="5"/>
      <c r="C3" s="5"/>
      <c r="D3" s="5"/>
      <c r="E3" s="5"/>
      <c r="F3" s="5"/>
      <c r="G3" s="6"/>
    </row>
    <row r="4">
      <c r="A4" s="8" t="s">
        <v>36</v>
      </c>
      <c r="B4" s="8" t="s">
        <v>37</v>
      </c>
      <c r="C4" s="8" t="s">
        <v>38</v>
      </c>
      <c r="D4" s="9" t="s">
        <v>39</v>
      </c>
      <c r="E4" s="10"/>
      <c r="F4" s="10"/>
      <c r="G4" s="11"/>
    </row>
    <row r="5">
      <c r="A5" s="12" t="s">
        <v>40</v>
      </c>
      <c r="B5" s="12" t="s">
        <v>41</v>
      </c>
      <c r="C5" s="13">
        <v>20.0</v>
      </c>
      <c r="D5" s="14" t="s">
        <v>42</v>
      </c>
      <c r="E5" s="10"/>
      <c r="F5" s="10"/>
      <c r="G5" s="11"/>
    </row>
    <row r="6">
      <c r="A6" s="12" t="s">
        <v>43</v>
      </c>
      <c r="B6" s="12" t="s">
        <v>44</v>
      </c>
      <c r="C6" s="13">
        <v>25.0</v>
      </c>
      <c r="D6" s="14" t="s">
        <v>45</v>
      </c>
      <c r="E6" s="10"/>
      <c r="F6" s="10"/>
      <c r="G6" s="11"/>
    </row>
    <row r="7">
      <c r="A7" s="12" t="s">
        <v>46</v>
      </c>
      <c r="B7" s="12" t="s">
        <v>47</v>
      </c>
      <c r="C7" s="15">
        <v>1.8</v>
      </c>
      <c r="D7" s="14" t="s">
        <v>48</v>
      </c>
      <c r="E7" s="10"/>
      <c r="F7" s="10"/>
      <c r="G7" s="11"/>
    </row>
    <row r="8">
      <c r="A8" s="12" t="s">
        <v>49</v>
      </c>
      <c r="B8" s="12" t="s">
        <v>47</v>
      </c>
      <c r="C8" s="15">
        <v>0.3</v>
      </c>
      <c r="D8" s="14" t="s">
        <v>50</v>
      </c>
      <c r="E8" s="10"/>
      <c r="F8" s="10"/>
      <c r="G8" s="11"/>
    </row>
    <row r="9">
      <c r="A9" s="12" t="s">
        <v>51</v>
      </c>
      <c r="B9" s="12" t="s">
        <v>47</v>
      </c>
      <c r="C9" s="15">
        <v>0.6</v>
      </c>
      <c r="D9" s="14" t="s">
        <v>52</v>
      </c>
      <c r="E9" s="10"/>
      <c r="F9" s="10"/>
      <c r="G9" s="11"/>
    </row>
    <row r="10">
      <c r="A10" s="12" t="s">
        <v>53</v>
      </c>
      <c r="B10" s="12" t="s">
        <v>54</v>
      </c>
      <c r="C10" s="13">
        <v>12.0</v>
      </c>
      <c r="D10" s="14" t="s">
        <v>55</v>
      </c>
      <c r="E10" s="10"/>
      <c r="F10" s="10"/>
      <c r="G10" s="11"/>
    </row>
    <row r="11">
      <c r="A11" s="12" t="s">
        <v>56</v>
      </c>
      <c r="B11" s="12" t="s">
        <v>57</v>
      </c>
      <c r="C11" s="13">
        <v>200.0</v>
      </c>
      <c r="D11" s="14" t="s">
        <v>58</v>
      </c>
      <c r="E11" s="10"/>
      <c r="F11" s="10"/>
      <c r="G11" s="11"/>
    </row>
    <row r="13">
      <c r="A13" s="16" t="s">
        <v>59</v>
      </c>
      <c r="B13" s="5"/>
      <c r="C13" s="5"/>
      <c r="D13" s="5"/>
      <c r="E13" s="5"/>
      <c r="F13" s="5"/>
      <c r="G13" s="6"/>
    </row>
    <row r="14">
      <c r="A14" s="8" t="s">
        <v>60</v>
      </c>
      <c r="B14" s="8" t="s">
        <v>61</v>
      </c>
      <c r="C14" s="8" t="s">
        <v>62</v>
      </c>
      <c r="D14" s="8" t="s">
        <v>63</v>
      </c>
      <c r="E14" s="9" t="s">
        <v>39</v>
      </c>
      <c r="F14" s="10"/>
      <c r="G14" s="11"/>
    </row>
    <row r="15">
      <c r="A15" s="12" t="s">
        <v>64</v>
      </c>
      <c r="B15" s="12" t="s">
        <v>65</v>
      </c>
      <c r="C15" s="13">
        <v>1.0</v>
      </c>
      <c r="D15" s="13">
        <v>8.0</v>
      </c>
      <c r="E15" s="14" t="s">
        <v>66</v>
      </c>
      <c r="F15" s="10"/>
      <c r="G15" s="11"/>
    </row>
    <row r="16">
      <c r="A16" s="12" t="s">
        <v>67</v>
      </c>
      <c r="B16" s="12" t="s">
        <v>65</v>
      </c>
      <c r="C16" s="13">
        <v>2.0</v>
      </c>
      <c r="D16" s="13">
        <v>8.0</v>
      </c>
      <c r="E16" s="14" t="s">
        <v>68</v>
      </c>
      <c r="F16" s="10"/>
      <c r="G16" s="11"/>
    </row>
    <row r="17">
      <c r="A17" s="12" t="s">
        <v>69</v>
      </c>
      <c r="B17" s="12" t="s">
        <v>70</v>
      </c>
      <c r="C17" s="13">
        <v>3.0</v>
      </c>
      <c r="D17" s="13">
        <v>24.0</v>
      </c>
      <c r="E17" s="14" t="s">
        <v>71</v>
      </c>
      <c r="F17" s="10"/>
      <c r="G17" s="11"/>
    </row>
    <row r="18">
      <c r="A18" s="12" t="s">
        <v>49</v>
      </c>
      <c r="B18" s="12" t="s">
        <v>65</v>
      </c>
      <c r="C18" s="13">
        <v>1.0</v>
      </c>
      <c r="D18" s="13">
        <v>4.0</v>
      </c>
      <c r="E18" s="14" t="s">
        <v>72</v>
      </c>
      <c r="F18" s="10"/>
      <c r="G18" s="11"/>
    </row>
    <row r="19">
      <c r="A19" s="12" t="s">
        <v>51</v>
      </c>
      <c r="B19" s="12" t="s">
        <v>65</v>
      </c>
      <c r="C19" s="13">
        <v>1.0</v>
      </c>
      <c r="D19" s="13">
        <v>6.0</v>
      </c>
      <c r="E19" s="14" t="s">
        <v>73</v>
      </c>
      <c r="F19" s="10"/>
      <c r="G19" s="11"/>
    </row>
    <row r="21" ht="15.75" customHeight="1">
      <c r="A21" s="16" t="s">
        <v>74</v>
      </c>
      <c r="B21" s="5"/>
      <c r="C21" s="5"/>
      <c r="D21" s="5"/>
      <c r="E21" s="5"/>
      <c r="F21" s="5"/>
      <c r="G21" s="6"/>
    </row>
    <row r="22" ht="15.75" customHeight="1">
      <c r="A22" s="8" t="s">
        <v>60</v>
      </c>
      <c r="B22" s="8" t="s">
        <v>75</v>
      </c>
      <c r="C22" s="8" t="s">
        <v>76</v>
      </c>
      <c r="D22" s="9" t="s">
        <v>77</v>
      </c>
      <c r="E22" s="10"/>
      <c r="F22" s="10"/>
      <c r="G22" s="11"/>
    </row>
    <row r="23" ht="15.75" customHeight="1">
      <c r="A23" s="12" t="s">
        <v>64</v>
      </c>
      <c r="B23" s="12" t="s">
        <v>78</v>
      </c>
      <c r="C23" s="13">
        <f>ROUND((C15*D15*60/$C$5)*$C$6,0)</f>
        <v>600</v>
      </c>
      <c r="D23" s="14" t="s">
        <v>79</v>
      </c>
      <c r="E23" s="10"/>
      <c r="F23" s="10"/>
      <c r="G23" s="11"/>
    </row>
    <row r="24" ht="15.75" customHeight="1">
      <c r="A24" s="12" t="s">
        <v>67</v>
      </c>
      <c r="B24" s="12" t="s">
        <v>80</v>
      </c>
      <c r="C24" s="13">
        <f>ROUND((C16*D16*60)/$C$7,0)</f>
        <v>533</v>
      </c>
      <c r="D24" s="14" t="s">
        <v>81</v>
      </c>
      <c r="E24" s="10"/>
      <c r="F24" s="10"/>
      <c r="G24" s="11"/>
    </row>
    <row r="25" ht="15.75" customHeight="1">
      <c r="A25" s="12" t="s">
        <v>82</v>
      </c>
      <c r="B25" s="12" t="s">
        <v>83</v>
      </c>
      <c r="C25" s="13">
        <f>ROUND((C17*$C$11)*(24/$C$10),0)</f>
        <v>1200</v>
      </c>
      <c r="D25" s="14" t="s">
        <v>84</v>
      </c>
      <c r="E25" s="10"/>
      <c r="F25" s="10"/>
      <c r="G25" s="11"/>
    </row>
    <row r="26" ht="15.75" customHeight="1">
      <c r="A26" s="12" t="s">
        <v>49</v>
      </c>
      <c r="B26" s="12" t="s">
        <v>80</v>
      </c>
      <c r="C26" s="13">
        <f>ROUND((C18*D18*60)/$C$8,0)</f>
        <v>800</v>
      </c>
      <c r="D26" s="14" t="s">
        <v>85</v>
      </c>
      <c r="E26" s="10"/>
      <c r="F26" s="10"/>
      <c r="G26" s="11"/>
    </row>
    <row r="27" ht="15.75" customHeight="1">
      <c r="A27" s="12" t="s">
        <v>51</v>
      </c>
      <c r="B27" s="12" t="s">
        <v>80</v>
      </c>
      <c r="C27" s="13">
        <f>ROUND((C19*D19*60)/$C$9,0)</f>
        <v>600</v>
      </c>
      <c r="D27" s="14" t="s">
        <v>86</v>
      </c>
      <c r="E27" s="10"/>
      <c r="F27" s="10"/>
      <c r="G27" s="11"/>
    </row>
    <row r="28" ht="15.75" customHeight="1">
      <c r="C28" s="17"/>
    </row>
    <row r="29" ht="15.75" customHeight="1">
      <c r="C29" s="17"/>
    </row>
    <row r="30" ht="15.75" customHeight="1">
      <c r="A30" s="16" t="s">
        <v>87</v>
      </c>
      <c r="B30" s="5"/>
      <c r="C30" s="5"/>
      <c r="D30" s="5"/>
      <c r="E30" s="5"/>
      <c r="F30" s="5"/>
      <c r="G30" s="6"/>
    </row>
    <row r="31" ht="15.75" customHeight="1">
      <c r="A31" s="12" t="s">
        <v>88</v>
      </c>
      <c r="B31" s="12" t="s">
        <v>89</v>
      </c>
      <c r="C31" s="13">
        <f>MIN(C23:C27)</f>
        <v>533</v>
      </c>
      <c r="D31" s="14" t="s">
        <v>90</v>
      </c>
      <c r="E31" s="10"/>
      <c r="F31" s="10"/>
      <c r="G31" s="11"/>
    </row>
    <row r="32" ht="15.75" customHeight="1">
      <c r="A32" s="12" t="s">
        <v>91</v>
      </c>
      <c r="B32" s="12" t="s">
        <v>89</v>
      </c>
      <c r="C32" s="13">
        <f>ROUND(C31*0.85,0)</f>
        <v>453</v>
      </c>
      <c r="D32" s="14" t="s">
        <v>92</v>
      </c>
      <c r="E32" s="10"/>
      <c r="F32" s="10"/>
      <c r="G32" s="11"/>
    </row>
    <row r="33" ht="15.75" customHeight="1">
      <c r="A33" s="12" t="s">
        <v>93</v>
      </c>
      <c r="B33" s="12" t="s">
        <v>89</v>
      </c>
      <c r="C33" s="13">
        <f>C32*2</f>
        <v>906</v>
      </c>
      <c r="D33" s="14" t="s">
        <v>94</v>
      </c>
      <c r="E33" s="10"/>
      <c r="F33" s="10"/>
      <c r="G33" s="11"/>
    </row>
    <row r="34" ht="15.75" customHeight="1">
      <c r="A34" s="12" t="s">
        <v>95</v>
      </c>
      <c r="B34" s="12" t="s">
        <v>89</v>
      </c>
      <c r="C34" s="13">
        <f>C32*3</f>
        <v>1359</v>
      </c>
      <c r="D34" s="14" t="s">
        <v>96</v>
      </c>
      <c r="E34" s="10"/>
      <c r="F34" s="10"/>
      <c r="G34" s="11"/>
    </row>
    <row r="35" ht="15.75" customHeight="1">
      <c r="A35" s="12" t="s">
        <v>97</v>
      </c>
      <c r="B35" s="12"/>
      <c r="C35" s="13" t="str">
        <f t="array" ref="C35">INDEX(A23:A27, MATCH(C31, C23:C27, 0))</f>
        <v>Лепка</v>
      </c>
      <c r="D35" s="14" t="s">
        <v>98</v>
      </c>
      <c r="E35" s="10"/>
      <c r="F35" s="10"/>
      <c r="G35" s="11"/>
    </row>
    <row r="36" ht="15.75" customHeight="1">
      <c r="C36" s="17"/>
    </row>
    <row r="37" ht="15.75" customHeight="1">
      <c r="C37" s="17"/>
    </row>
    <row r="38" ht="15.75" customHeight="1">
      <c r="A38" s="16" t="s">
        <v>99</v>
      </c>
      <c r="B38" s="5"/>
      <c r="C38" s="5"/>
      <c r="D38" s="5"/>
      <c r="E38" s="5"/>
      <c r="F38" s="5"/>
      <c r="G38" s="6"/>
    </row>
    <row r="39" ht="15.75" customHeight="1">
      <c r="A39" s="18" t="s">
        <v>100</v>
      </c>
      <c r="B39" s="10"/>
      <c r="C39" s="10"/>
      <c r="D39" s="10"/>
      <c r="E39" s="10"/>
      <c r="F39" s="10"/>
      <c r="G39" s="11"/>
    </row>
    <row r="40" ht="15.75" customHeight="1">
      <c r="A40" s="12" t="s">
        <v>101</v>
      </c>
      <c r="B40" s="12" t="s">
        <v>102</v>
      </c>
      <c r="C40" s="13">
        <f>IF($C$35&lt;&gt;"Лепка","—",CEILING(($C$33*$C$7)/(D16*60),1))</f>
        <v>4</v>
      </c>
      <c r="D40" s="14" t="s">
        <v>103</v>
      </c>
      <c r="E40" s="10"/>
      <c r="F40" s="10"/>
      <c r="G40" s="11"/>
    </row>
    <row r="41" ht="15.75" customHeight="1">
      <c r="A41" s="12" t="s">
        <v>104</v>
      </c>
      <c r="B41" s="12" t="s">
        <v>102</v>
      </c>
      <c r="C41" s="13">
        <f>IF($C$35&lt;&gt;"Лепка","—",CEILING(($C$34*$C$7)/(D16*60),1))</f>
        <v>6</v>
      </c>
      <c r="D41" s="14" t="s">
        <v>105</v>
      </c>
      <c r="E41" s="10"/>
      <c r="F41" s="10"/>
      <c r="G41" s="1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G1"/>
    <mergeCell ref="A3:G3"/>
    <mergeCell ref="D4:G4"/>
    <mergeCell ref="D5:G5"/>
    <mergeCell ref="D6:G6"/>
    <mergeCell ref="D7:G7"/>
    <mergeCell ref="D8:G8"/>
    <mergeCell ref="D9:G9"/>
    <mergeCell ref="D10:G10"/>
    <mergeCell ref="D11:G11"/>
    <mergeCell ref="A13:G13"/>
    <mergeCell ref="E14:G14"/>
    <mergeCell ref="E15:G15"/>
    <mergeCell ref="E16:G16"/>
    <mergeCell ref="E17:G17"/>
    <mergeCell ref="E18:G18"/>
    <mergeCell ref="E19:G19"/>
    <mergeCell ref="A21:G21"/>
    <mergeCell ref="D22:G22"/>
    <mergeCell ref="D23:G23"/>
    <mergeCell ref="D24:G24"/>
    <mergeCell ref="D34:G34"/>
    <mergeCell ref="D35:G35"/>
    <mergeCell ref="A38:G38"/>
    <mergeCell ref="A39:G39"/>
    <mergeCell ref="D40:G40"/>
    <mergeCell ref="D41:G41"/>
    <mergeCell ref="D25:G25"/>
    <mergeCell ref="D26:G26"/>
    <mergeCell ref="D27:G27"/>
    <mergeCell ref="A30:G30"/>
    <mergeCell ref="D31:G31"/>
    <mergeCell ref="D32:G32"/>
    <mergeCell ref="D33:G3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0"/>
    <col customWidth="1" min="2" max="7" width="14.0"/>
    <col customWidth="1" min="8" max="8" width="34.0"/>
    <col customWidth="1" min="9" max="26" width="8.71"/>
  </cols>
  <sheetData>
    <row r="1" ht="25.5" customHeight="1">
      <c r="A1" s="19" t="s">
        <v>106</v>
      </c>
      <c r="B1" s="5"/>
      <c r="C1" s="5"/>
      <c r="D1" s="5"/>
      <c r="E1" s="5"/>
      <c r="F1" s="5"/>
      <c r="G1" s="5"/>
      <c r="H1" s="6"/>
    </row>
    <row r="2" ht="30.0" customHeight="1">
      <c r="A2" s="20" t="s">
        <v>107</v>
      </c>
      <c r="B2" s="21" t="s">
        <v>108</v>
      </c>
    </row>
    <row r="4">
      <c r="A4" s="16" t="s">
        <v>109</v>
      </c>
      <c r="B4" s="5"/>
      <c r="C4" s="5"/>
      <c r="D4" s="5"/>
      <c r="E4" s="5"/>
      <c r="F4" s="5"/>
      <c r="G4" s="5"/>
      <c r="H4" s="6"/>
    </row>
    <row r="5">
      <c r="A5" s="22" t="s">
        <v>110</v>
      </c>
      <c r="B5" s="22" t="s">
        <v>111</v>
      </c>
      <c r="C5" s="22" t="s">
        <v>112</v>
      </c>
      <c r="D5" s="22" t="s">
        <v>113</v>
      </c>
      <c r="E5" s="22" t="s">
        <v>114</v>
      </c>
      <c r="F5" s="22" t="s">
        <v>43</v>
      </c>
      <c r="G5" s="22" t="s">
        <v>115</v>
      </c>
      <c r="H5" s="22" t="s">
        <v>116</v>
      </c>
    </row>
    <row r="6">
      <c r="A6" s="12" t="s">
        <v>117</v>
      </c>
      <c r="B6" s="23">
        <v>0.7</v>
      </c>
      <c r="C6" s="15">
        <v>1.8</v>
      </c>
      <c r="D6" s="15">
        <v>0.6</v>
      </c>
      <c r="E6" s="15">
        <v>0.3</v>
      </c>
      <c r="F6" s="13">
        <f>OPS_Capacity_Model!$C$6</f>
        <v>25</v>
      </c>
      <c r="G6" s="13">
        <f>OPS_Capacity_Model!$C$5</f>
        <v>20</v>
      </c>
      <c r="H6" s="13">
        <f>OPS_Capacity_Model!$C$10</f>
        <v>12</v>
      </c>
    </row>
    <row r="7">
      <c r="A7" s="12" t="s">
        <v>118</v>
      </c>
      <c r="B7" s="23">
        <v>0.2</v>
      </c>
      <c r="C7" s="15">
        <v>2.3</v>
      </c>
      <c r="D7" s="15">
        <v>1.0</v>
      </c>
      <c r="E7" s="15">
        <v>0.4</v>
      </c>
      <c r="F7" s="13">
        <f>OPS_Capacity_Model!$C$6</f>
        <v>25</v>
      </c>
      <c r="G7" s="13">
        <f>OPS_Capacity_Model!$C$5</f>
        <v>20</v>
      </c>
      <c r="H7" s="13">
        <f>OPS_Capacity_Model!$C$10</f>
        <v>12</v>
      </c>
    </row>
    <row r="8">
      <c r="A8" s="12" t="s">
        <v>119</v>
      </c>
      <c r="B8" s="23">
        <v>0.1</v>
      </c>
      <c r="C8" s="15">
        <v>1.5</v>
      </c>
      <c r="D8" s="15">
        <v>0.5</v>
      </c>
      <c r="E8" s="15">
        <v>0.3</v>
      </c>
      <c r="F8" s="13">
        <f>OPS_Capacity_Model!$C$6</f>
        <v>25</v>
      </c>
      <c r="G8" s="13">
        <f>OPS_Capacity_Model!$C$5</f>
        <v>20</v>
      </c>
      <c r="H8" s="13">
        <f>OPS_Capacity_Model!$C$10</f>
        <v>12</v>
      </c>
    </row>
    <row r="10">
      <c r="A10" s="16" t="s">
        <v>120</v>
      </c>
      <c r="B10" s="5"/>
      <c r="C10" s="5"/>
      <c r="D10" s="5"/>
      <c r="E10" s="5"/>
      <c r="F10" s="5"/>
      <c r="G10" s="5"/>
      <c r="H10" s="6"/>
    </row>
    <row r="11">
      <c r="A11" s="22" t="s">
        <v>121</v>
      </c>
      <c r="B11" s="22" t="s">
        <v>38</v>
      </c>
      <c r="C11" s="24" t="s">
        <v>122</v>
      </c>
      <c r="D11" s="10"/>
      <c r="E11" s="10"/>
      <c r="F11" s="10"/>
      <c r="G11" s="10"/>
      <c r="H11" s="11"/>
    </row>
    <row r="12">
      <c r="A12" s="12" t="s">
        <v>123</v>
      </c>
      <c r="B12" s="23">
        <f>SUM(B6:B8)</f>
        <v>1</v>
      </c>
      <c r="C12" s="14" t="s">
        <v>124</v>
      </c>
      <c r="D12" s="10"/>
      <c r="E12" s="10"/>
      <c r="F12" s="10"/>
      <c r="G12" s="10"/>
      <c r="H12" s="11"/>
    </row>
    <row r="13">
      <c r="A13" s="12" t="s">
        <v>125</v>
      </c>
      <c r="B13" s="15">
        <f>SUMPRODUCT(B6:B8,C6:C8)</f>
        <v>1.87</v>
      </c>
      <c r="C13" s="14" t="s">
        <v>126</v>
      </c>
      <c r="D13" s="10"/>
      <c r="E13" s="10"/>
      <c r="F13" s="10"/>
      <c r="G13" s="10"/>
      <c r="H13" s="11"/>
    </row>
    <row r="14">
      <c r="A14" s="12" t="s">
        <v>127</v>
      </c>
      <c r="B14" s="15">
        <f>SUMPRODUCT(B6:B8,D6:D8)</f>
        <v>0.67</v>
      </c>
      <c r="C14" s="14" t="s">
        <v>126</v>
      </c>
      <c r="D14" s="10"/>
      <c r="E14" s="10"/>
      <c r="F14" s="10"/>
      <c r="G14" s="10"/>
      <c r="H14" s="11"/>
    </row>
    <row r="15">
      <c r="A15" s="12" t="s">
        <v>128</v>
      </c>
      <c r="B15" s="15">
        <f>SUMPRODUCT(B6:B8,E6:E8)</f>
        <v>0.32</v>
      </c>
      <c r="C15" s="14" t="s">
        <v>126</v>
      </c>
      <c r="D15" s="10"/>
      <c r="E15" s="10"/>
      <c r="F15" s="10"/>
      <c r="G15" s="10"/>
      <c r="H15" s="11"/>
    </row>
    <row r="16">
      <c r="A16" s="12" t="s">
        <v>129</v>
      </c>
      <c r="B16" s="13">
        <f>OPS_Capacity_Model!$C$6</f>
        <v>25</v>
      </c>
      <c r="C16" s="14" t="s">
        <v>130</v>
      </c>
      <c r="D16" s="10"/>
      <c r="E16" s="10"/>
      <c r="F16" s="10"/>
      <c r="G16" s="10"/>
      <c r="H16" s="11"/>
    </row>
    <row r="17">
      <c r="A17" s="12" t="s">
        <v>131</v>
      </c>
      <c r="B17" s="13">
        <f>OPS_Capacity_Model!$C$5</f>
        <v>20</v>
      </c>
      <c r="C17" s="14" t="s">
        <v>130</v>
      </c>
      <c r="D17" s="10"/>
      <c r="E17" s="10"/>
      <c r="F17" s="10"/>
      <c r="G17" s="10"/>
      <c r="H17" s="11"/>
    </row>
    <row r="18">
      <c r="A18" s="12" t="s">
        <v>132</v>
      </c>
      <c r="B18" s="13">
        <f>OPS_Capacity_Model!$C$10</f>
        <v>12</v>
      </c>
      <c r="C18" s="14" t="s">
        <v>130</v>
      </c>
      <c r="D18" s="10"/>
      <c r="E18" s="10"/>
      <c r="F18" s="10"/>
      <c r="G18" s="10"/>
      <c r="H18" s="11"/>
    </row>
    <row r="20">
      <c r="A20" s="16" t="s">
        <v>133</v>
      </c>
      <c r="B20" s="5"/>
      <c r="C20" s="5"/>
      <c r="D20" s="5"/>
      <c r="E20" s="5"/>
      <c r="F20" s="5"/>
      <c r="G20" s="5"/>
      <c r="H20" s="6"/>
    </row>
    <row r="21" ht="15.75" customHeight="1">
      <c r="A21" s="22" t="s">
        <v>60</v>
      </c>
      <c r="B21" s="22" t="s">
        <v>76</v>
      </c>
      <c r="C21" s="24" t="s">
        <v>39</v>
      </c>
      <c r="D21" s="10"/>
      <c r="E21" s="10"/>
      <c r="F21" s="10"/>
      <c r="G21" s="10"/>
      <c r="H21" s="11"/>
    </row>
    <row r="22" ht="15.75" customHeight="1">
      <c r="A22" s="12" t="s">
        <v>134</v>
      </c>
      <c r="B22" s="13">
        <f>ROUND((OPS_Capacity_Model!C15*OPS_Capacity_Model!D15*60/OPS_Capacity_Model!$C$5)*OPS_Capacity_Model!$C$6,0)</f>
        <v>600</v>
      </c>
      <c r="C22" s="14" t="s">
        <v>135</v>
      </c>
      <c r="D22" s="10"/>
      <c r="E22" s="10"/>
      <c r="F22" s="10"/>
      <c r="G22" s="10"/>
      <c r="H22" s="11"/>
    </row>
    <row r="23" ht="15.75" customHeight="1">
      <c r="A23" s="12" t="s">
        <v>67</v>
      </c>
      <c r="B23" s="13">
        <f>ROUND((OPS_Capacity_Model!C16*OPS_Capacity_Model!D16*60)/$B$13,0)</f>
        <v>513</v>
      </c>
      <c r="C23" s="14" t="s">
        <v>136</v>
      </c>
      <c r="D23" s="10"/>
      <c r="E23" s="10"/>
      <c r="F23" s="10"/>
      <c r="G23" s="10"/>
      <c r="H23" s="11"/>
    </row>
    <row r="24" ht="15.75" customHeight="1">
      <c r="A24" s="12" t="s">
        <v>69</v>
      </c>
      <c r="B24" s="13">
        <f>ROUND((OPS_Capacity_Model!C17*OPS_Capacity_Model!$C$11)*(24/OPS_Capacity_Model!$C$10),0)</f>
        <v>1200</v>
      </c>
      <c r="C24" s="14" t="s">
        <v>137</v>
      </c>
      <c r="D24" s="10"/>
      <c r="E24" s="10"/>
      <c r="F24" s="10"/>
      <c r="G24" s="10"/>
      <c r="H24" s="11"/>
    </row>
    <row r="25" ht="15.75" customHeight="1">
      <c r="A25" s="12" t="s">
        <v>138</v>
      </c>
      <c r="B25" s="13">
        <f>ROUND((OPS_Capacity_Model!C18*OPS_Capacity_Model!D18*60)/$B$15,0)</f>
        <v>750</v>
      </c>
      <c r="C25" s="14" t="s">
        <v>139</v>
      </c>
      <c r="D25" s="10"/>
      <c r="E25" s="10"/>
      <c r="F25" s="10"/>
      <c r="G25" s="10"/>
      <c r="H25" s="11"/>
    </row>
    <row r="26" ht="15.75" customHeight="1">
      <c r="A26" s="12" t="s">
        <v>51</v>
      </c>
      <c r="B26" s="13">
        <f>ROUND((OPS_Capacity_Model!C19*OPS_Capacity_Model!D19*60)/$B$14,0)</f>
        <v>537</v>
      </c>
      <c r="C26" s="14" t="s">
        <v>140</v>
      </c>
      <c r="D26" s="10"/>
      <c r="E26" s="10"/>
      <c r="F26" s="10"/>
      <c r="G26" s="10"/>
      <c r="H26" s="11"/>
    </row>
    <row r="27" ht="15.75" customHeight="1"/>
    <row r="28" ht="15.75" customHeight="1">
      <c r="A28" s="25" t="s">
        <v>141</v>
      </c>
      <c r="B28" s="26">
        <f>MIN(B22:B26)</f>
        <v>513</v>
      </c>
      <c r="C28" s="27" t="s">
        <v>142</v>
      </c>
      <c r="D28" s="10"/>
      <c r="E28" s="10"/>
      <c r="F28" s="10"/>
      <c r="G28" s="10"/>
      <c r="H28" s="11"/>
    </row>
    <row r="29" ht="15.75" customHeight="1">
      <c r="A29" s="12" t="s">
        <v>143</v>
      </c>
      <c r="B29" s="12">
        <f>ROUND(B28*0.85,0)</f>
        <v>436</v>
      </c>
      <c r="C29" s="14" t="s">
        <v>92</v>
      </c>
      <c r="D29" s="10"/>
      <c r="E29" s="10"/>
      <c r="F29" s="10"/>
      <c r="G29" s="10"/>
      <c r="H29" s="11"/>
    </row>
    <row r="30" ht="15.75" customHeight="1">
      <c r="A30" s="12" t="s">
        <v>97</v>
      </c>
      <c r="B30" s="12" t="str">
        <f t="array" ref="B30">INDEX(A22:A26, MATCH(B28, B22:B26, 0))</f>
        <v>Лепка</v>
      </c>
      <c r="C30" s="14" t="s">
        <v>98</v>
      </c>
      <c r="D30" s="10"/>
      <c r="E30" s="10"/>
      <c r="F30" s="10"/>
      <c r="G30" s="10"/>
      <c r="H30" s="1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B2:H2"/>
    <mergeCell ref="A4:H4"/>
    <mergeCell ref="A10:H10"/>
    <mergeCell ref="C11:H11"/>
    <mergeCell ref="C12:H12"/>
    <mergeCell ref="C13:H13"/>
    <mergeCell ref="C22:H22"/>
    <mergeCell ref="C23:H23"/>
    <mergeCell ref="C24:H24"/>
    <mergeCell ref="C25:H25"/>
    <mergeCell ref="C26:H26"/>
    <mergeCell ref="C28:H28"/>
    <mergeCell ref="C29:H29"/>
    <mergeCell ref="C30:H30"/>
    <mergeCell ref="C14:H14"/>
    <mergeCell ref="C15:H15"/>
    <mergeCell ref="C16:H16"/>
    <mergeCell ref="C17:H17"/>
    <mergeCell ref="C18:H18"/>
    <mergeCell ref="A20:H20"/>
    <mergeCell ref="C21:H2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0.0"/>
    <col customWidth="1" min="3" max="26" width="8.71"/>
  </cols>
  <sheetData>
    <row r="1">
      <c r="A1" s="4" t="s">
        <v>144</v>
      </c>
      <c r="B1" s="6"/>
    </row>
    <row r="3">
      <c r="A3" s="28" t="s">
        <v>145</v>
      </c>
      <c r="B3" s="12" t="s">
        <v>146</v>
      </c>
    </row>
    <row r="4">
      <c r="A4" s="28" t="s">
        <v>147</v>
      </c>
      <c r="B4" s="12" t="s">
        <v>148</v>
      </c>
    </row>
    <row r="5">
      <c r="A5" s="28" t="s">
        <v>149</v>
      </c>
      <c r="B5" s="12" t="s">
        <v>150</v>
      </c>
    </row>
    <row r="6">
      <c r="A6" s="28" t="s">
        <v>151</v>
      </c>
      <c r="B6" s="12" t="s">
        <v>152</v>
      </c>
    </row>
    <row r="7">
      <c r="A7" s="28" t="s">
        <v>153</v>
      </c>
      <c r="B7" s="12" t="s">
        <v>154</v>
      </c>
    </row>
    <row r="8">
      <c r="A8" s="28" t="s">
        <v>155</v>
      </c>
      <c r="B8" s="12" t="s">
        <v>156</v>
      </c>
    </row>
    <row r="9">
      <c r="A9" s="28" t="s">
        <v>157</v>
      </c>
      <c r="B9" s="12" t="s">
        <v>158</v>
      </c>
    </row>
    <row r="10">
      <c r="A10" s="28" t="s">
        <v>159</v>
      </c>
      <c r="B10" s="12" t="s">
        <v>160</v>
      </c>
    </row>
    <row r="11">
      <c r="A11" s="28" t="s">
        <v>161</v>
      </c>
      <c r="B11" s="12" t="s">
        <v>162</v>
      </c>
    </row>
    <row r="12">
      <c r="A12" s="28" t="s">
        <v>163</v>
      </c>
      <c r="B12" s="12" t="s">
        <v>164</v>
      </c>
    </row>
    <row r="13">
      <c r="A13" s="28" t="s">
        <v>165</v>
      </c>
      <c r="B13" s="12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